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source\repos\JudicialStatistics\JudicialStatistics.Web\"/>
    </mc:Choice>
  </mc:AlternateContent>
  <xr:revisionPtr revIDLastSave="0" documentId="13_ncr:1_{C8A58FFF-2EB1-48A3-BFF5-5FBE560F2E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التشكيل" sheetId="1" r:id="rId1"/>
  </sheets>
  <definedNames>
    <definedName name="_xlnm._FilterDatabase" localSheetId="0" hidden="1">التشكيل!$AI$4:$AK$357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N5" i="1"/>
  <c r="V5" i="1"/>
  <c r="F6" i="1"/>
  <c r="N6" i="1"/>
  <c r="V6" i="1"/>
  <c r="F7" i="1"/>
  <c r="N7" i="1"/>
  <c r="V7" i="1"/>
  <c r="F8" i="1"/>
  <c r="N8" i="1"/>
  <c r="V8" i="1"/>
  <c r="F9" i="1"/>
  <c r="N9" i="1"/>
  <c r="V9" i="1"/>
  <c r="F10" i="1"/>
  <c r="N10" i="1"/>
  <c r="V10" i="1"/>
  <c r="F11" i="1"/>
  <c r="N11" i="1"/>
  <c r="V11" i="1"/>
  <c r="F12" i="1"/>
  <c r="N12" i="1"/>
  <c r="V12" i="1"/>
  <c r="F13" i="1"/>
  <c r="N13" i="1"/>
  <c r="V13" i="1"/>
  <c r="F14" i="1"/>
  <c r="N14" i="1"/>
  <c r="V14" i="1"/>
  <c r="F15" i="1"/>
  <c r="N15" i="1"/>
  <c r="V15" i="1"/>
  <c r="F16" i="1"/>
  <c r="N16" i="1"/>
  <c r="V16" i="1"/>
  <c r="F17" i="1"/>
  <c r="N17" i="1"/>
  <c r="V17" i="1"/>
  <c r="F18" i="1"/>
  <c r="N18" i="1"/>
  <c r="V18" i="1"/>
  <c r="F19" i="1"/>
  <c r="N19" i="1"/>
  <c r="V19" i="1"/>
  <c r="F20" i="1"/>
  <c r="N20" i="1"/>
  <c r="V20" i="1"/>
  <c r="F21" i="1"/>
  <c r="N21" i="1"/>
  <c r="V21" i="1"/>
  <c r="F22" i="1"/>
  <c r="N22" i="1"/>
  <c r="V22" i="1"/>
  <c r="F23" i="1"/>
  <c r="N23" i="1"/>
  <c r="V23" i="1"/>
  <c r="F24" i="1"/>
  <c r="N24" i="1"/>
  <c r="V24" i="1"/>
  <c r="F25" i="1"/>
  <c r="N25" i="1"/>
  <c r="V25" i="1"/>
  <c r="F26" i="1"/>
  <c r="N26" i="1"/>
  <c r="V26" i="1"/>
  <c r="F27" i="1"/>
  <c r="N27" i="1"/>
  <c r="V27" i="1"/>
  <c r="F28" i="1"/>
  <c r="N28" i="1"/>
  <c r="V28" i="1"/>
  <c r="F29" i="1"/>
  <c r="N29" i="1"/>
  <c r="V29" i="1"/>
  <c r="F30" i="1"/>
  <c r="N30" i="1"/>
  <c r="V30" i="1"/>
  <c r="F31" i="1"/>
  <c r="N31" i="1"/>
  <c r="V31" i="1"/>
  <c r="F32" i="1"/>
  <c r="N32" i="1"/>
  <c r="V32" i="1"/>
  <c r="F33" i="1"/>
  <c r="N33" i="1"/>
  <c r="V33" i="1"/>
  <c r="F34" i="1"/>
  <c r="N34" i="1"/>
  <c r="V34" i="1"/>
  <c r="F35" i="1"/>
  <c r="N35" i="1"/>
  <c r="V35" i="1"/>
  <c r="F36" i="1"/>
  <c r="N36" i="1"/>
  <c r="V36" i="1"/>
  <c r="F37" i="1"/>
  <c r="N37" i="1"/>
  <c r="V37" i="1"/>
  <c r="F38" i="1"/>
  <c r="N38" i="1"/>
  <c r="V38" i="1"/>
  <c r="F39" i="1"/>
  <c r="N39" i="1"/>
  <c r="V39" i="1"/>
  <c r="F40" i="1"/>
  <c r="N40" i="1"/>
  <c r="V40" i="1"/>
  <c r="F41" i="1"/>
  <c r="N41" i="1"/>
  <c r="V41" i="1"/>
  <c r="F42" i="1"/>
  <c r="N42" i="1"/>
  <c r="V42" i="1"/>
  <c r="F43" i="1"/>
  <c r="N43" i="1"/>
  <c r="V43" i="1"/>
  <c r="F44" i="1"/>
  <c r="N44" i="1"/>
  <c r="V44" i="1"/>
  <c r="F45" i="1"/>
  <c r="N45" i="1"/>
  <c r="V45" i="1"/>
  <c r="F46" i="1"/>
  <c r="N46" i="1"/>
  <c r="V46" i="1"/>
  <c r="F47" i="1"/>
  <c r="N47" i="1"/>
  <c r="V47" i="1"/>
  <c r="F48" i="1"/>
  <c r="N48" i="1"/>
  <c r="V48" i="1"/>
  <c r="F49" i="1"/>
  <c r="N49" i="1"/>
  <c r="V49" i="1"/>
  <c r="F50" i="1"/>
  <c r="N50" i="1"/>
  <c r="V50" i="1"/>
  <c r="F51" i="1"/>
  <c r="N51" i="1"/>
  <c r="V51" i="1"/>
  <c r="F52" i="1"/>
  <c r="N52" i="1"/>
  <c r="V52" i="1"/>
  <c r="F53" i="1"/>
  <c r="N53" i="1"/>
  <c r="V53" i="1"/>
  <c r="F54" i="1"/>
  <c r="N54" i="1"/>
  <c r="V54" i="1"/>
  <c r="F55" i="1"/>
  <c r="N55" i="1"/>
  <c r="V55" i="1"/>
  <c r="F56" i="1"/>
  <c r="N56" i="1"/>
  <c r="V56" i="1"/>
  <c r="F57" i="1"/>
  <c r="N57" i="1"/>
  <c r="V57" i="1"/>
  <c r="F58" i="1"/>
  <c r="N58" i="1"/>
  <c r="V58" i="1"/>
  <c r="F59" i="1"/>
  <c r="N59" i="1"/>
  <c r="V59" i="1"/>
  <c r="F60" i="1"/>
  <c r="N60" i="1"/>
  <c r="V60" i="1"/>
  <c r="F61" i="1"/>
  <c r="N61" i="1"/>
  <c r="V61" i="1"/>
  <c r="F62" i="1"/>
  <c r="N62" i="1"/>
  <c r="V62" i="1"/>
  <c r="F63" i="1"/>
  <c r="N63" i="1"/>
  <c r="V63" i="1"/>
  <c r="F64" i="1"/>
  <c r="N64" i="1"/>
  <c r="V64" i="1"/>
  <c r="F65" i="1"/>
  <c r="N65" i="1"/>
  <c r="V65" i="1"/>
  <c r="F66" i="1"/>
  <c r="N66" i="1"/>
  <c r="V66" i="1"/>
  <c r="F67" i="1"/>
  <c r="N67" i="1"/>
  <c r="V67" i="1"/>
  <c r="F68" i="1"/>
  <c r="N68" i="1"/>
  <c r="V68" i="1"/>
  <c r="F69" i="1"/>
  <c r="N69" i="1"/>
  <c r="V69" i="1"/>
  <c r="F70" i="1"/>
  <c r="N70" i="1"/>
  <c r="V70" i="1"/>
  <c r="F71" i="1"/>
  <c r="N71" i="1"/>
  <c r="V71" i="1"/>
  <c r="F72" i="1"/>
  <c r="N72" i="1"/>
  <c r="V72" i="1"/>
  <c r="F73" i="1"/>
  <c r="N73" i="1"/>
  <c r="V73" i="1"/>
  <c r="F74" i="1"/>
  <c r="N74" i="1"/>
  <c r="V74" i="1"/>
  <c r="F75" i="1"/>
  <c r="N75" i="1"/>
  <c r="V75" i="1"/>
  <c r="F76" i="1"/>
  <c r="N76" i="1"/>
  <c r="V76" i="1"/>
  <c r="F77" i="1"/>
  <c r="N77" i="1"/>
  <c r="V77" i="1"/>
  <c r="F78" i="1"/>
  <c r="N78" i="1"/>
  <c r="V78" i="1"/>
  <c r="F79" i="1"/>
  <c r="N79" i="1"/>
  <c r="V79" i="1"/>
  <c r="F80" i="1"/>
  <c r="N80" i="1"/>
  <c r="V80" i="1"/>
  <c r="F81" i="1"/>
  <c r="N81" i="1"/>
  <c r="V81" i="1"/>
  <c r="F82" i="1"/>
  <c r="N82" i="1"/>
  <c r="V82" i="1"/>
  <c r="F83" i="1"/>
  <c r="N83" i="1"/>
  <c r="V83" i="1"/>
  <c r="F84" i="1"/>
  <c r="N84" i="1"/>
  <c r="V84" i="1"/>
  <c r="F85" i="1"/>
  <c r="N85" i="1"/>
  <c r="V85" i="1"/>
  <c r="F86" i="1"/>
  <c r="N86" i="1"/>
  <c r="V86" i="1"/>
  <c r="F87" i="1"/>
  <c r="N87" i="1"/>
  <c r="V87" i="1"/>
  <c r="F88" i="1"/>
  <c r="N88" i="1"/>
  <c r="V88" i="1"/>
  <c r="F89" i="1"/>
  <c r="N89" i="1"/>
  <c r="V89" i="1"/>
  <c r="F90" i="1"/>
  <c r="N90" i="1"/>
  <c r="V90" i="1"/>
  <c r="F91" i="1"/>
  <c r="N91" i="1"/>
  <c r="V91" i="1"/>
  <c r="F92" i="1"/>
  <c r="N92" i="1"/>
  <c r="V92" i="1"/>
  <c r="F93" i="1"/>
  <c r="N93" i="1"/>
  <c r="V93" i="1"/>
  <c r="F94" i="1"/>
  <c r="N94" i="1"/>
  <c r="V94" i="1"/>
  <c r="F95" i="1"/>
  <c r="N95" i="1"/>
  <c r="V95" i="1"/>
  <c r="F96" i="1"/>
  <c r="N96" i="1"/>
  <c r="V96" i="1"/>
  <c r="F97" i="1"/>
  <c r="N97" i="1"/>
  <c r="V97" i="1"/>
  <c r="F98" i="1"/>
  <c r="N98" i="1"/>
  <c r="V98" i="1"/>
  <c r="F99" i="1"/>
  <c r="N99" i="1"/>
  <c r="V99" i="1"/>
  <c r="F100" i="1"/>
  <c r="N100" i="1"/>
  <c r="V100" i="1"/>
  <c r="F101" i="1"/>
  <c r="N101" i="1"/>
  <c r="V101" i="1"/>
  <c r="F102" i="1"/>
  <c r="N102" i="1"/>
  <c r="V102" i="1"/>
  <c r="F103" i="1"/>
  <c r="N103" i="1"/>
  <c r="V103" i="1"/>
  <c r="F104" i="1"/>
  <c r="N104" i="1"/>
  <c r="V104" i="1"/>
  <c r="F105" i="1"/>
  <c r="N105" i="1"/>
  <c r="V105" i="1"/>
  <c r="F106" i="1"/>
  <c r="N106" i="1"/>
  <c r="V106" i="1"/>
  <c r="F107" i="1"/>
  <c r="N107" i="1"/>
  <c r="V107" i="1"/>
  <c r="F108" i="1"/>
  <c r="N108" i="1"/>
  <c r="V108" i="1"/>
  <c r="F109" i="1"/>
  <c r="N109" i="1"/>
  <c r="V109" i="1"/>
  <c r="F110" i="1"/>
  <c r="N110" i="1"/>
  <c r="V110" i="1"/>
  <c r="F111" i="1"/>
  <c r="N111" i="1"/>
  <c r="V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/>
  <c r="F205" i="1"/>
  <c r="N205" i="1"/>
  <c r="F206" i="1"/>
  <c r="N206" i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/>
  <c r="F247" i="1"/>
  <c r="N247" i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/>
  <c r="F255" i="1"/>
  <c r="N255" i="1"/>
  <c r="F256" i="1"/>
  <c r="N256" i="1"/>
  <c r="F257" i="1"/>
  <c r="N257" i="1"/>
  <c r="F258" i="1"/>
  <c r="N258" i="1"/>
  <c r="F259" i="1"/>
  <c r="N259" i="1"/>
  <c r="F260" i="1"/>
  <c r="N260" i="1"/>
  <c r="F261" i="1"/>
  <c r="N261" i="1"/>
  <c r="F262" i="1"/>
  <c r="N262" i="1"/>
  <c r="F263" i="1"/>
  <c r="N263" i="1"/>
  <c r="F264" i="1"/>
  <c r="N264" i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/>
  <c r="F281" i="1"/>
  <c r="N281" i="1"/>
  <c r="F282" i="1"/>
  <c r="N282" i="1"/>
  <c r="F283" i="1"/>
  <c r="N283" i="1"/>
  <c r="F284" i="1"/>
  <c r="N284" i="1"/>
  <c r="F285" i="1"/>
  <c r="N285" i="1"/>
  <c r="F286" i="1"/>
  <c r="N286" i="1"/>
  <c r="F287" i="1"/>
  <c r="N287" i="1"/>
  <c r="F288" i="1"/>
  <c r="N288" i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/>
  <c r="F297" i="1"/>
  <c r="N297" i="1"/>
  <c r="F298" i="1"/>
  <c r="N298" i="1"/>
  <c r="F299" i="1"/>
  <c r="N299" i="1"/>
  <c r="F300" i="1"/>
  <c r="N300" i="1"/>
  <c r="F301" i="1"/>
  <c r="N301" i="1"/>
  <c r="F302" i="1"/>
  <c r="N302" i="1"/>
  <c r="F303" i="1"/>
  <c r="N303" i="1"/>
  <c r="F304" i="1"/>
  <c r="N304" i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/>
  <c r="F337" i="1"/>
  <c r="N337" i="1"/>
  <c r="F338" i="1"/>
  <c r="N338" i="1"/>
  <c r="F339" i="1"/>
  <c r="N339" i="1"/>
  <c r="F340" i="1"/>
  <c r="N340" i="1"/>
  <c r="F341" i="1"/>
  <c r="N341" i="1"/>
  <c r="F342" i="1"/>
  <c r="N342" i="1"/>
  <c r="F343" i="1"/>
  <c r="N343" i="1"/>
  <c r="F344" i="1"/>
  <c r="N344" i="1"/>
  <c r="F345" i="1"/>
  <c r="N345" i="1"/>
  <c r="F346" i="1"/>
  <c r="N346" i="1"/>
  <c r="F347" i="1"/>
  <c r="N347" i="1"/>
  <c r="F348" i="1"/>
  <c r="N348" i="1"/>
  <c r="F349" i="1"/>
  <c r="N349" i="1"/>
  <c r="F350" i="1"/>
  <c r="N350" i="1"/>
  <c r="F351" i="1"/>
  <c r="N351" i="1"/>
  <c r="F352" i="1"/>
  <c r="N352" i="1"/>
  <c r="F353" i="1"/>
  <c r="N353" i="1"/>
  <c r="F354" i="1"/>
  <c r="N354" i="1"/>
  <c r="F355" i="1"/>
  <c r="N355" i="1"/>
  <c r="F356" i="1"/>
  <c r="N356" i="1"/>
  <c r="F357" i="1"/>
  <c r="N357" i="1"/>
</calcChain>
</file>

<file path=xl/sharedStrings.xml><?xml version="1.0" encoding="utf-8"?>
<sst xmlns="http://schemas.openxmlformats.org/spreadsheetml/2006/main" count="3570" uniqueCount="657">
  <si>
    <t>الدوائر</t>
  </si>
  <si>
    <t>الجلسات</t>
  </si>
  <si>
    <t>القضاة</t>
  </si>
  <si>
    <t>الجداول المرجعية وقوائم الاختيار للنظام (System Reference &amp; Lookup Tables)</t>
  </si>
  <si>
    <t>رقم الدائرة</t>
  </si>
  <si>
    <t>اسم الدائرة</t>
  </si>
  <si>
    <t>المحكمة / المأمورية</t>
  </si>
  <si>
    <t>نوع الدائرة</t>
  </si>
  <si>
    <t>بداية</t>
  </si>
  <si>
    <t>اسم الدائرة (معادلة)</t>
  </si>
  <si>
    <t>التخصص القضائي</t>
  </si>
  <si>
    <t>رقم الجلسة</t>
  </si>
  <si>
    <t>اسم الجلسة</t>
  </si>
  <si>
    <t>نوع الجلسة</t>
  </si>
  <si>
    <t>يوم العمل</t>
  </si>
  <si>
    <t>بداية الرنج</t>
  </si>
  <si>
    <t>المحكمة (معادلة)</t>
  </si>
  <si>
    <t>اسم سكرتير الجلسة</t>
  </si>
  <si>
    <t>رقم تليفون سكرتير الجلسة</t>
  </si>
  <si>
    <t>رقم القاضي</t>
  </si>
  <si>
    <t>اسم القاضي</t>
  </si>
  <si>
    <t>الاقدمية</t>
  </si>
  <si>
    <t>الدرجة</t>
  </si>
  <si>
    <t>العمل بالدائرة</t>
  </si>
  <si>
    <t>الحالة</t>
  </si>
  <si>
    <t>السبب</t>
  </si>
  <si>
    <t>كود المحكمة</t>
  </si>
  <si>
    <t>المحكمة أو المأمورية</t>
  </si>
  <si>
    <t>ظهور الجلسة</t>
  </si>
  <si>
    <t>حالة القاضي</t>
  </si>
  <si>
    <t>BNISF-COURT</t>
  </si>
  <si>
    <t>محكمة بني سويف الابتدائية</t>
  </si>
  <si>
    <t>BNISF-PLENARY</t>
  </si>
  <si>
    <t>مأمورية بني سويف الكلية</t>
  </si>
  <si>
    <t>WASTA-PLENARY</t>
  </si>
  <si>
    <t>مأمورية الواسطى الكلية</t>
  </si>
  <si>
    <t>BEBA-PLENARY</t>
  </si>
  <si>
    <t>مأمورية ببا الكلية</t>
  </si>
  <si>
    <t>BANDAR-PARTIAL</t>
  </si>
  <si>
    <t>محكمة بندر بني سويف الجزئية</t>
  </si>
  <si>
    <t>MARKAZ-PARTIAL</t>
  </si>
  <si>
    <t>محكمة مركز بني سويف الجزئية</t>
  </si>
  <si>
    <t>WASTA-PARTIAL</t>
  </si>
  <si>
    <t>محكمة الواسطى الجزئية</t>
  </si>
  <si>
    <t>NASSER-PARTIAL</t>
  </si>
  <si>
    <t>محكمة ناصر الجزئية</t>
  </si>
  <si>
    <t>EHNASSIA-PARTIAL</t>
  </si>
  <si>
    <t>محكمة اهناسيا الجزئية</t>
  </si>
  <si>
    <t>BEBA-PARTIAL</t>
  </si>
  <si>
    <t>محكمة ببا الجزئية</t>
  </si>
  <si>
    <t>FASHN-PARTIAL</t>
  </si>
  <si>
    <t>محكمة الفشن الجزئية</t>
  </si>
  <si>
    <t>SOMOSTA-PARTIAL</t>
  </si>
  <si>
    <t>محكمة سمسطا الجزئية</t>
  </si>
  <si>
    <t>FAM-COURT</t>
  </si>
  <si>
    <t>محكمة الأسرة بني سويف</t>
  </si>
  <si>
    <t>LAB-COURT</t>
  </si>
  <si>
    <t>المحكمة العمالية بني سويف</t>
  </si>
  <si>
    <t>FYM-COURT</t>
  </si>
  <si>
    <t>محكمة الفيوم الابتدائية</t>
  </si>
  <si>
    <t>مدني كلي</t>
  </si>
  <si>
    <t>أسرة</t>
  </si>
  <si>
    <t>جنح مستأنف</t>
  </si>
  <si>
    <t>عمالية</t>
  </si>
  <si>
    <t>جزئي</t>
  </si>
  <si>
    <t>جنح جزئي</t>
  </si>
  <si>
    <t>مدني جزئي</t>
  </si>
  <si>
    <t>مدني</t>
  </si>
  <si>
    <t>جنائي</t>
  </si>
  <si>
    <t>عمال</t>
  </si>
  <si>
    <t>القضايا الماسة بأمن البلاد</t>
  </si>
  <si>
    <t>جنح البيئة مستأنفة</t>
  </si>
  <si>
    <t>جنح العنف ضد المرأة مستأنفة</t>
  </si>
  <si>
    <t>جنح المباني مستأنفة</t>
  </si>
  <si>
    <t>جنح ماسة بأمن البلاد مستأنفة</t>
  </si>
  <si>
    <t>جنح مستأنف الإرهاب</t>
  </si>
  <si>
    <t>جنح مستأنف التعاطي واتجار المواد المخدرة</t>
  </si>
  <si>
    <t>جنح مستأنف العنف ضد الطفل</t>
  </si>
  <si>
    <t>جنح مستأنف المرور</t>
  </si>
  <si>
    <t>جنح مستأنف الهجرة غير الشرعية</t>
  </si>
  <si>
    <t>جنح مستأنف بندر</t>
  </si>
  <si>
    <t>جنح مستأنف مركز</t>
  </si>
  <si>
    <t>جنح ومخالفات مستأنفة</t>
  </si>
  <si>
    <t>قضايا العنف ضد المرأة</t>
  </si>
  <si>
    <t>قضايا جنايات وجنح الطفل مستأنف</t>
  </si>
  <si>
    <t>لجنة الإعفاء من الرسوم القضائية</t>
  </si>
  <si>
    <t>مباني</t>
  </si>
  <si>
    <t>أسرة نفس وحبس</t>
  </si>
  <si>
    <t>أسرة مال</t>
  </si>
  <si>
    <t>أسرة نفس</t>
  </si>
  <si>
    <t>تأمينات اجتماعية</t>
  </si>
  <si>
    <t>تجاري جزئي</t>
  </si>
  <si>
    <t>تعويضات عمالية</t>
  </si>
  <si>
    <t>جنايات وجنح الطفل - أول درجة</t>
  </si>
  <si>
    <t>جنح الإرهاب</t>
  </si>
  <si>
    <t>جنح التعاطي والاتجار في المواد المخدرة</t>
  </si>
  <si>
    <t>جنح العنف ضد الطفل</t>
  </si>
  <si>
    <t>جنح الهجرة غير الشرعية</t>
  </si>
  <si>
    <t>جنح ومخالفات</t>
  </si>
  <si>
    <t>حبس أسرة</t>
  </si>
  <si>
    <t>عمال كلي</t>
  </si>
  <si>
    <t>مباني وأملاك الدولة</t>
  </si>
  <si>
    <t>أوقاف</t>
  </si>
  <si>
    <t>إيجارات</t>
  </si>
  <si>
    <t>تأمينات</t>
  </si>
  <si>
    <t>تجاري</t>
  </si>
  <si>
    <t>تعويضات</t>
  </si>
  <si>
    <t>حكومة</t>
  </si>
  <si>
    <t>مستأنف أوقاف</t>
  </si>
  <si>
    <t>مستأنف مدني كلي</t>
  </si>
  <si>
    <t>مستأنف مستعجل</t>
  </si>
  <si>
    <t>جنايات طفل أول درجة</t>
  </si>
  <si>
    <t>جنايات طفل مستأنف</t>
  </si>
  <si>
    <t>جنح طفل أول درجة</t>
  </si>
  <si>
    <t>جنح طفل مستأنف</t>
  </si>
  <si>
    <t>جنح عمال</t>
  </si>
  <si>
    <t>قضايا عمال</t>
  </si>
  <si>
    <t>جنح البيئة جزئي</t>
  </si>
  <si>
    <t>جنح العنف ضد المرأة</t>
  </si>
  <si>
    <t>جنح المباني وأملاك الدولة</t>
  </si>
  <si>
    <t>جنح المرور جزئي</t>
  </si>
  <si>
    <t>جنح ومخالفات جزئي</t>
  </si>
  <si>
    <t>حكومة جزئي</t>
  </si>
  <si>
    <t>صحة توقيع</t>
  </si>
  <si>
    <t>قضايا ماسة بأمن البلاد جزئي</t>
  </si>
  <si>
    <t>مستعجل جزئي</t>
  </si>
  <si>
    <t>مدني مستأنف</t>
  </si>
  <si>
    <t>كلي مستأنف</t>
  </si>
  <si>
    <t>كلي صحة توقيع</t>
  </si>
  <si>
    <t>جنح المرور</t>
  </si>
  <si>
    <t>جنح البيئة</t>
  </si>
  <si>
    <t>السبت</t>
  </si>
  <si>
    <t>الأحد</t>
  </si>
  <si>
    <t>الاثنين</t>
  </si>
  <si>
    <t>الثلاثاء</t>
  </si>
  <si>
    <t>الأربعاء</t>
  </si>
  <si>
    <t>الخميس</t>
  </si>
  <si>
    <t>يعمل</t>
  </si>
  <si>
    <t>لا يعمل</t>
  </si>
  <si>
    <t>الدائرة الأولى جنائي</t>
  </si>
  <si>
    <t>0</t>
  </si>
  <si>
    <t>الدائرة الثانية جنائي</t>
  </si>
  <si>
    <t>الدائرة الثالثة جنائي</t>
  </si>
  <si>
    <t>الدائرة الرابعة جنائي</t>
  </si>
  <si>
    <t>الدائرة الخامسة جنائي</t>
  </si>
  <si>
    <t>الدائرة السادسة جنائي</t>
  </si>
  <si>
    <t>الدائرة السابعة جنائي</t>
  </si>
  <si>
    <t>الدائرة الثامنة جنائي</t>
  </si>
  <si>
    <t>الدائرة الأولى مدني كلي</t>
  </si>
  <si>
    <t>الدائرة الثانية مدني كلي</t>
  </si>
  <si>
    <t>الدائرة الثالثة مدني كلي</t>
  </si>
  <si>
    <t>الدائرة الرابعة مدني كلي</t>
  </si>
  <si>
    <t>الدائرة الخامسة مدني كلي ومستأنف</t>
  </si>
  <si>
    <t>الدائرة السادسة مدني كلي</t>
  </si>
  <si>
    <t>الدائرة السابعة مدني كلي ومستأنف</t>
  </si>
  <si>
    <t>الدائرة الثامنة مدني مستأنف</t>
  </si>
  <si>
    <t>الدائرة الأولى أسرة</t>
  </si>
  <si>
    <t>الدائرة الثانية أسرة</t>
  </si>
  <si>
    <t>الدائرة الثالثة أسرة</t>
  </si>
  <si>
    <t>الدائرة الرابعة أسرة</t>
  </si>
  <si>
    <t>الدائرة الخامسة أسرة</t>
  </si>
  <si>
    <t>الدائرة السادسة أسرة</t>
  </si>
  <si>
    <t>الدائرة السابعة أسرة</t>
  </si>
  <si>
    <t>الدائرة الثامنة أسرة</t>
  </si>
  <si>
    <t>الدائرة الأولى جزئي</t>
  </si>
  <si>
    <t>الدائرة الثانية جزئي</t>
  </si>
  <si>
    <t>الدائرة الثالثة جزئي</t>
  </si>
  <si>
    <t>الدائرة الرابعة جزئي</t>
  </si>
  <si>
    <t>الدائرة الثانية عمالية</t>
  </si>
  <si>
    <t>الدائرة الثالثة عمالية</t>
  </si>
  <si>
    <t>الدائرة الأولى عمالية</t>
  </si>
  <si>
    <t>مدني كلي - محافظة بني سويف - السبت</t>
  </si>
  <si>
    <t>أحمد سيد عبد السلام</t>
  </si>
  <si>
    <t>01012345602</t>
  </si>
  <si>
    <t>نعم</t>
  </si>
  <si>
    <t>قضايا هيئة الأوقاف (فردي) - محافظة بني سويف - السبت</t>
  </si>
  <si>
    <t>محمود عادل إبراهيم</t>
  </si>
  <si>
    <t>01012345603</t>
  </si>
  <si>
    <t>مدني كلي - محافظة بني سويف - الأحد</t>
  </si>
  <si>
    <t>محمد عبد العظيم حسن</t>
  </si>
  <si>
    <t>01012345601</t>
  </si>
  <si>
    <t>مدني البيئة - محافظة بني سويف - الأحد</t>
  </si>
  <si>
    <t>مدني كلي - محافظة بني سويف - الاثنين</t>
  </si>
  <si>
    <t>تعويضات - محافظة بني سويف - الاثنين</t>
  </si>
  <si>
    <t>مدني كلي حكومة - محافظة بني سويف - السبت</t>
  </si>
  <si>
    <t>تجاري كلي - محافظة بني سويف - السبت</t>
  </si>
  <si>
    <t>تعويضات - محافظة بني سويف - الأحد</t>
  </si>
  <si>
    <t>مدني كلي - محافظة بني سويف - الثلاثاء</t>
  </si>
  <si>
    <t>تعويضات - محافظة بني سويف - الثلاثاء</t>
  </si>
  <si>
    <t>مدني كلي - محافظة بني سويف - الأربعاء</t>
  </si>
  <si>
    <t>مدني كلي إيجارات - محافظة بني سويف - الخميس</t>
  </si>
  <si>
    <t>قضايا هيئة الأوقاف (زوجي) - محافظة بني سويف - الخميس</t>
  </si>
  <si>
    <t>مدني كلي (فردي) - محافظة بني سويف - السبت</t>
  </si>
  <si>
    <t>ياسر كمال طه</t>
  </si>
  <si>
    <t>01012345605</t>
  </si>
  <si>
    <t>خالد مصطفى فؤاد</t>
  </si>
  <si>
    <t>01012345604</t>
  </si>
  <si>
    <t>مدني كلي (زوجي) - محافظة بني سويف - الأحد</t>
  </si>
  <si>
    <t>مدني كلي إيجارات - محافظة بني سويف - الأحد</t>
  </si>
  <si>
    <t>قضايا البيئة - الواسطى - مركز الواسطى - الأحد</t>
  </si>
  <si>
    <t>مدني مستأنف - مركز الواسطى - الاثنين</t>
  </si>
  <si>
    <t>مدني مستأنف مستعجل الواسطى - مركز الواسطى - الاثنين</t>
  </si>
  <si>
    <t>تجاري كلي - محافظة بني سويف - الاثنين</t>
  </si>
  <si>
    <t>مدني كلي - القضايا رقمي (1، 2) - محافظة بني سويف - الثلاثاء</t>
  </si>
  <si>
    <t>عمرو ممدوح سالم</t>
  </si>
  <si>
    <t>01012345607</t>
  </si>
  <si>
    <t>مدني كلي - القضايا رقمي (3، 4) - محافظة بني سويف - الأربعاء</t>
  </si>
  <si>
    <t>حسام الدين صابر عوض</t>
  </si>
  <si>
    <t>01012345606</t>
  </si>
  <si>
    <t>تجاري كلي - محافظة بني سويف - الأربعاء</t>
  </si>
  <si>
    <t>قضايا البيئة (ببا وسمسطا والفشن) - مركز ببا - الأربعاء</t>
  </si>
  <si>
    <t>مدني كلي - القضايا رقمي (5، 6) - محافظة بني سويف - الخميس</t>
  </si>
  <si>
    <t>مدني كلي حكومة - محافظة بني سويف - الخميس</t>
  </si>
  <si>
    <t>مدني كلي - القضايا رقمي (7، 8) - محافظة بني سويف - السبت</t>
  </si>
  <si>
    <t>مدني كلي - القضايا رقمي (9، 0) - محافظة بني سويف - الأحد</t>
  </si>
  <si>
    <t>مدني كلي تعويضات - محافظة بني سويف - الأحد</t>
  </si>
  <si>
    <t>مدني مستأنف - مركز ببا - الاثنين</t>
  </si>
  <si>
    <t>مدني مستأنف مستعجل - مركز ببا - الاثنين</t>
  </si>
  <si>
    <t>مدني مستأنف - الأرقام (1، 2، 3، 4) - محافظة بني سويف - الثلاثاء</t>
  </si>
  <si>
    <t>مدني مستأنف قضايا الأوقاف - محافظة بني سويف - الثلاثاء</t>
  </si>
  <si>
    <t>مدني مستأنف - الأرقام (5، 6، 7) - محافظة بني سويف - الأربعاء</t>
  </si>
  <si>
    <t>مدني مستأنف - الأرقام (8، 9، 0) - محافظة بني سويف - الخميس</t>
  </si>
  <si>
    <t>مدني مستأنف مستعجل - محافظة بني سويف - الخميس</t>
  </si>
  <si>
    <t>محكمة الأسرة - بندر بني سويف (1، 2، 3) وأصفارهم - السبت</t>
  </si>
  <si>
    <t>عصام نبيل عبد الهادي</t>
  </si>
  <si>
    <t>01012345608</t>
  </si>
  <si>
    <t>محكمة الأسرة - بندر بني سويف (4، 5، 6) وأصفارهم - الأحد</t>
  </si>
  <si>
    <t>وليد مجدي قرني</t>
  </si>
  <si>
    <t>01012345609</t>
  </si>
  <si>
    <t>محكمة الأسرة - بندر بني سويف (7، 8، 9) وأصفارهم - الاثنين</t>
  </si>
  <si>
    <t>محكمة الأسرة - مركز بني سويف (1، 2، 3) وأصفارهم - الثلاثاء</t>
  </si>
  <si>
    <t>محكمة الأسرة - مركز بني سويف (4، 5، 6) وأصفارهم - الأربعاء</t>
  </si>
  <si>
    <t>محكمة الأسرة - مركز بني سويف (7، 8، 9) وأصفارهم - الخميس</t>
  </si>
  <si>
    <t>محكمة الأسرة - الواسطى (1، 2، 3) وأصفارهم - مركز الواسطى - السبت</t>
  </si>
  <si>
    <t>محكمة الأسرة - الواسطى (4، 5، 6) وأصفارهم - مركز الواسطى - الأحد</t>
  </si>
  <si>
    <t>محكمة الأسرة - الواسطى (7، 8، 9) وأصفارهم - مركز الواسطى - الاثنين</t>
  </si>
  <si>
    <t>محكمة الأسرة - ببا (1، 2، 3) وأصفارهم - مركز ببا - السبت</t>
  </si>
  <si>
    <t>محكمة الأسرة - ببا (4، 5، 6) وأصفارهم - مركز ببا - الأحد</t>
  </si>
  <si>
    <t>محكمة الأسرة - ببا (7، 8، 9) وأصفارهم - مركز ببا - الاثنين</t>
  </si>
  <si>
    <t>محكمة الأسرة - الفشن (1، 2، 3) وأصفارهم - مركز الفشن - الثلاثاء</t>
  </si>
  <si>
    <t>محكمة الأسرة - الفشن (4، 5، 6) وأصفارهم - مركز الفشن - الأربعاء</t>
  </si>
  <si>
    <t>محكمة الأسرة - الفشن (7، 8، 9) وأصفارهم - مركز الفشن - الخميس</t>
  </si>
  <si>
    <t>محكمة الأسرة - إهناسيا (1، 2، 3) وأصفارهم - مركز إهناسيا - السبت</t>
  </si>
  <si>
    <t>محكمة الأسرة - إهناسيا (4، 5، 6) وأصفارهم - مركز إهناسيا - الأحد</t>
  </si>
  <si>
    <t>محكمة الأسرة - إهناسيا (7، 8، 9) وأصفارهم - مركز إهناسيا - الاثنين</t>
  </si>
  <si>
    <t>محكمة الأسرة - سمسطا (1، 2، 3) وأصفارهم - مركز سمسطا - الثلاثاء</t>
  </si>
  <si>
    <t>محكمة الأسرة - سمسطا (4، 5، 6) وأصفارهم - مركز سمسطا - الأربعاء</t>
  </si>
  <si>
    <t>محكمة الأسرة - سمسطا (7، 8، 9) وأصفارهم - مركز سمسطا - الخميس</t>
  </si>
  <si>
    <t>محكمة الأسرة - ناصر (1، 2، 3) وأصفارهم - مركز ناصر - السبت</t>
  </si>
  <si>
    <t>محكمة الأسرة - ناصر (4، 5، 6) وأصفارهم - مركز ناصر - الأحد</t>
  </si>
  <si>
    <t>محكمة الأسرة - ناصر (7، 8، 9) وأصفارهم - مركز ناصر - الاثنين</t>
  </si>
  <si>
    <t>جنح ومخالفات مستأنفة - بندر بني سويف (1، 2، 3، 4) - الثلاثاء</t>
  </si>
  <si>
    <t>جنح ومخالفات البناء والتعدي على أملاك الدولة - بندر بني سويف - الثلاثاء</t>
  </si>
  <si>
    <t>قضايا العنف ضد المرأة - بندر بني سويف - الثلاثاء</t>
  </si>
  <si>
    <t>لا</t>
  </si>
  <si>
    <t>جنح ومخالفات مستأنفة - بندر بني سويف (5، 6، 7) - الأربعاء</t>
  </si>
  <si>
    <t>جنايات وجنح الطفل (فردي) أول درجة - محافظة بني سويف - الأربعاء</t>
  </si>
  <si>
    <t>جنح ومخالفات مستأنفة - بندر بني سويف (8، 9، 0) - الخميس</t>
  </si>
  <si>
    <t>القضايا الماسة بأمن البلاد - بندر بني سويف - الخميس</t>
  </si>
  <si>
    <t>جنح مستأنف البيئة - بندر بني سويف - الخميس</t>
  </si>
  <si>
    <t>جنح مستأنف المرور - بندر بني سويف - الخميس</t>
  </si>
  <si>
    <t>جنح مستأنف الإرهاب - بندر بني سويف - الخميس</t>
  </si>
  <si>
    <t>جنح مستأنف العنف ضد الطفل - بندر بني سويف - الخميس</t>
  </si>
  <si>
    <t>جنح مستأنف التعاطي واتجار المواد المخدرة - بندر بني سويف - الخميس</t>
  </si>
  <si>
    <t>جنح مستأنف الهجرة غير الشرعية - بندر بني سويف - الخميس</t>
  </si>
  <si>
    <t>جنح ومخالفات مستأنفة - مركز بني سويف (1، 2، 3، 4) - السبت</t>
  </si>
  <si>
    <t>جنح مستأنف البيئة - مركز بني سويف - السبت</t>
  </si>
  <si>
    <t>جنح مستأنف المرور - مركز بني سويف - السبت</t>
  </si>
  <si>
    <t>جنح مستأنف الإرهاب - مركز بني سويف - السبت</t>
  </si>
  <si>
    <t>جنح مستأنف العنف ضد الطفل - مركز بني سويف - السبت</t>
  </si>
  <si>
    <t>جنح مستأنف التعاطي واتجار المواد المخدرة - مركز بني سويف - السبت</t>
  </si>
  <si>
    <t>جنح مستأنف الهجرة غير الشرعية - مركز بني سويف - السبت</t>
  </si>
  <si>
    <t>جنح ومخالفات مستأنفة - مركز بني سويف (5، 6، 7) - الأحد</t>
  </si>
  <si>
    <t>جنح ومخالفات البناء والتعدي على أملاك الدولة - مركز بني سويف - الأحد</t>
  </si>
  <si>
    <t>جنح ومخالفات مستأنفة - مركز بني سويف (8، 9، 0) - الاثنين</t>
  </si>
  <si>
    <t>قضايا العنف ضد المرأة - مركز بني سويف - الاثنين</t>
  </si>
  <si>
    <t>جنايات وجنح الطفل (زوجي) أول درجة - محافظة بني سويف - الاثنين</t>
  </si>
  <si>
    <t>جنح ومخالفات مستأنفة - مركز ناصر (1، 2، 3، 4) - الثلاثاء</t>
  </si>
  <si>
    <t>قضايا العنف ضد المرأة - مركز ناصر - الثلاثاء</t>
  </si>
  <si>
    <t>قضايا جنايات وجنح الطفل مستأنف (فردي) - محافظة بني سويف - الثلاثاء</t>
  </si>
  <si>
    <t>جنح ومخالفات مستأنفة - مركز ناصر (5، 6، 7) - الأربعاء</t>
  </si>
  <si>
    <t>جنح ومخالفات البناء والتعدي على أملاك الدولة - مركز ناصر - الأربعاء</t>
  </si>
  <si>
    <t>جنح ومخالفات مستأنفة - مركز ناصر (8، 9، 0) - الخميس</t>
  </si>
  <si>
    <t>جنح مستأنف البيئة - مركز ناصر - الخميس</t>
  </si>
  <si>
    <t>جنح مستأنف المرور - مركز ناصر - الخميس</t>
  </si>
  <si>
    <t>جنح مستأنف الإرهاب - مركز ناصر - الخميس</t>
  </si>
  <si>
    <t>جنح مستأنف العنف ضد الطفل - مركز ناصر - الخميس</t>
  </si>
  <si>
    <t>جنح مستأنف التعاطي واتجار المواد المخدرة - مركز ناصر - الخميس</t>
  </si>
  <si>
    <t>جنح مستأنف الهجرة غير الشرعية - مركز ناصر - الخميس</t>
  </si>
  <si>
    <t>جنح ومخالفات مستأنفة - مركز إهناسيا (1، 2، 3، 4) - السبت</t>
  </si>
  <si>
    <t>جنح مستأنف البيئة - مركز إهناسيا - السبت</t>
  </si>
  <si>
    <t>لجنة الإعفاء من الرسوم القضائية - مركز إهناسيا - السبت</t>
  </si>
  <si>
    <t>جنح مستأنف المرور - مركز إهناسيا - السبت</t>
  </si>
  <si>
    <t>جنح مستأنف الإرهاب - مركز إهناسيا - السبت</t>
  </si>
  <si>
    <t>جنح مستأنف العنف ضد الطفل - مركز إهناسيا - السبت</t>
  </si>
  <si>
    <t>جنح مستأنف التعاطي واتجار المواد المخدرة - مركز إهناسيا - السبت</t>
  </si>
  <si>
    <t>جنح مستأنف الهجرة غير الشرعية - مركز إهناسيا - السبت</t>
  </si>
  <si>
    <t>جنح ومخالفات مستأنفة - مركز إهناسيا (5، 6، 7) - الأحد</t>
  </si>
  <si>
    <t>قضايا جنايات وجنح الطفل مستأنف (زوجي) - محافظة بني سويف - الأحد</t>
  </si>
  <si>
    <t>جنح ومخالفات مستأنفة - مركز إهناسيا (8، 9، 0) - الاثنين</t>
  </si>
  <si>
    <t>جنح ومخالفات البناء والتعدي على أملاك الدولة - مركز إهناسيا - الاثنين</t>
  </si>
  <si>
    <t>قضايا العنف ضد المرأة - مركز إهناسيا - الاثنين</t>
  </si>
  <si>
    <t>جنح ومخالفات مستأنفة - مركز الواسطى (1، 2، 3، 4) - الثلاثاء</t>
  </si>
  <si>
    <t>جنح ومخالفات البناء والتعدي على أملاك الدولة - مركز الواسطى - الثلاثاء</t>
  </si>
  <si>
    <t>جنح مستأنف البيئة - مركز الواسطى - الثلاثاء</t>
  </si>
  <si>
    <t>جنح مستأنف المرور - مركز الواسطى - الثلاثاء</t>
  </si>
  <si>
    <t>جنح مستأنف الإرهاب - مركز الواسطى - الثلاثاء</t>
  </si>
  <si>
    <t>جنح مستأنف العنف ضد الطفل - مركز الواسطى - الثلاثاء</t>
  </si>
  <si>
    <t>جنح مستأنف التعاطي واتجار المواد المخدرة - مركز الواسطى - الثلاثاء</t>
  </si>
  <si>
    <t>جنح مستأنف الهجرة غير الشرعية - مركز الواسطى - الثلاثاء</t>
  </si>
  <si>
    <t>جنح ومخالفات مستأنفة - مركز الواسطى (5، 6، 7) - الأربعاء</t>
  </si>
  <si>
    <t>لجنة الإعفاء من الرسوم القضائية - مركز الواسطى - الأربعاء</t>
  </si>
  <si>
    <t>جنح ومخالفات مستأنفة - مركز الواسطى (8، 9، 0) - الخميس</t>
  </si>
  <si>
    <t>قضايا العنف ضد المرأة - مركز الواسطى - الخميس</t>
  </si>
  <si>
    <t>جنح ومخالفات مستأنفة - مركز ببا (1، 2، 3، 4) - السبت</t>
  </si>
  <si>
    <t>قضايا العنف ضد المرأة - مركز ببا - السبت</t>
  </si>
  <si>
    <t>جنح ومخالفات البناء والتعدي على أملاك الدولة - مركز ببا - السبت</t>
  </si>
  <si>
    <t>جنح ومخالفات مستأنفة - مركز ببا (5، 6، 7) - الأحد</t>
  </si>
  <si>
    <t>جنح مستأنف البيئة - مركز ببا - الأحد</t>
  </si>
  <si>
    <t>جنح مستأنف المرور - مركز ببا - الأحد</t>
  </si>
  <si>
    <t>جنح مستأنف الإرهاب - مركز ببا - الأحد</t>
  </si>
  <si>
    <t>جنح مستأنف العنف ضد الطفل - مركز ببا - الأحد</t>
  </si>
  <si>
    <t>جنح مستأنف التعاطي واتجار المواد المخدرة - مركز ببا - الأحد</t>
  </si>
  <si>
    <t>جنح مستأنف الهجرة غير الشرعية - مركز ببا - الأحد</t>
  </si>
  <si>
    <t>جنح ومخالفات مستأنفة - مركز ببا (8، 9، 0) - الاثنين</t>
  </si>
  <si>
    <t>جنح ومخالفات مستأنفة - مركز الفشن (1، 2، 3، 4) - السبت</t>
  </si>
  <si>
    <t>جنح ومخالفات البناء والتعدي على أملاك الدولة - مركز الفشن - السبت</t>
  </si>
  <si>
    <t>جنح ومخالفات مستأنفة - مركز الفشن (5، 6، 7) - الأحد</t>
  </si>
  <si>
    <t>قضايا العنف ضد المرأة - مركز الفشن - الأحد</t>
  </si>
  <si>
    <t>جنح ومخالفات مستأنفة - مركز الفشن (8، 9، 0) - الاثنين</t>
  </si>
  <si>
    <t>جنح مستأنف البيئة - مركز الفشن - الاثنين</t>
  </si>
  <si>
    <t>جنح مستأنف المرور - مركز الفشن - الاثنين</t>
  </si>
  <si>
    <t>جنح مستأنف الإرهاب - مركز الفشن - الاثنين</t>
  </si>
  <si>
    <t>جنح مستأنف العنف ضد الطفل - مركز الفشن - الاثنين</t>
  </si>
  <si>
    <t>جنح مستأنف التعاطي واتجار المواد المخدرة - مركز الفشن - الاثنين</t>
  </si>
  <si>
    <t>جنح مستأنف الهجرة غير الشرعية - مركز الفشن - الاثنين</t>
  </si>
  <si>
    <t>جنح ومخالفات مستأنفة - مركز سمسطا (1، 2، 3، 4) - الثلاثاء</t>
  </si>
  <si>
    <t>جنح ومخالفات البناء والتعدي على أملاك الدولة - مركز سمسطا - الثلاثاء</t>
  </si>
  <si>
    <t>جنح ومخالفات مستأنفة - مركز سمسطا (5، 6، 7) - الأربعاء</t>
  </si>
  <si>
    <t>جنح مستأنف البيئة - مركز سمسطا - الأربعاء</t>
  </si>
  <si>
    <t>قضايا العنف ضد المرأة - مركز سمسطا - الأربعاء</t>
  </si>
  <si>
    <t>جنح مستأنف المرور - مركز سمسطا - الأربعاء</t>
  </si>
  <si>
    <t>جنح مستأنف الإرهاب - مركز سمسطا - الأربعاء</t>
  </si>
  <si>
    <t>جنح مستأنف العنف ضد الطفل - مركز سمسطا - الأربعاء</t>
  </si>
  <si>
    <t>جنح مستأنف التعاطي واتجار المواد المخدرة - مركز سمسطا - الأربعاء</t>
  </si>
  <si>
    <t>جنح مستأنف الهجرة غير الشرعية - مركز سمسطا - الأربعاء</t>
  </si>
  <si>
    <t>جنح ومخالفات مستأنفة - مركز سمسطا (8، 9، 0) - الخميس</t>
  </si>
  <si>
    <t>لجنة الإعفاء من الرسوم القضائية - مركز سمسطا - الخميس</t>
  </si>
  <si>
    <t>عمال كلي (4، 5) وأصفارها - محافظة بني سويف - الثلاثاء</t>
  </si>
  <si>
    <t>شريف علاء فاروق</t>
  </si>
  <si>
    <t>01012345610</t>
  </si>
  <si>
    <t>تأمينات كلي (4، 5) وأصفارها - محافظة بني سويف - الثلاثاء</t>
  </si>
  <si>
    <t>أيمن صلاح الدين عثمان</t>
  </si>
  <si>
    <t>01012345611</t>
  </si>
  <si>
    <t>عمال كلي (6) وأصفارها - محافظة بني سويف - الأربعاء</t>
  </si>
  <si>
    <t>تأمينات كلي (6) وأصفارها - محافظة بني سويف - الأربعاء</t>
  </si>
  <si>
    <t>نظر التظلمات في الأوامر والقرارات الصادرة من السيد القاضي رئيس الدائرة الأولى والسيد القاضي رئيس الدائرة الثالثة - محافظة بني سويف - الأربعاء</t>
  </si>
  <si>
    <t>جنح عمال (4، 5، 6، 7) - محافظة بني سويف - الخميس</t>
  </si>
  <si>
    <t>عمال كلي (7، 8) وأصفارها - محافظة بني سويف - الثلاثاء</t>
  </si>
  <si>
    <t>تأمينات كلي (7، 8) وأصفارها - محافظة بني سويف - الثلاثاء</t>
  </si>
  <si>
    <t>عمال كلي (9) وأصفارها - محافظة بني سويف - الأربعاء</t>
  </si>
  <si>
    <t>تأمينات كلي (9) وأصفارها - محافظة بني سويف - الأربعاء</t>
  </si>
  <si>
    <t>جنح عمال (8، 9، 0) - محافظة بني سويف - الخميس</t>
  </si>
  <si>
    <t>عمال كلي (1، 2) وأصفارها - محافظة بني سويف - السبت</t>
  </si>
  <si>
    <t>تأمينات كلي (1، 2) وأصفارها - محافظة بني سويف - السبت</t>
  </si>
  <si>
    <t>عمال كلي (3) وأصفارها - محافظة بني سويف - الأحد</t>
  </si>
  <si>
    <t>تأمينات كلي (3) وأصفارها - محافظة بني سويف - الأحد</t>
  </si>
  <si>
    <t>نظر التظلمات في الأوامر والقرارات الصادرة من السيد القاضي رئيس الدائرة الثانية - محافظة بني سويف - الأحد</t>
  </si>
  <si>
    <t>جنح عمال (1، 2، 3) - محافظة بني سويف - الاثنين</t>
  </si>
  <si>
    <t>جنح ومخالفات بندر بني سويف (1) وأصفارها - السبت</t>
  </si>
  <si>
    <t>طارق إسماعيل رضوان</t>
  </si>
  <si>
    <t>01012345612</t>
  </si>
  <si>
    <t>جنح ومخالفات البناء والتعدي على أملاك الدولة - بندر بني سويف - السبت</t>
  </si>
  <si>
    <t>سعيد فتحي إمام</t>
  </si>
  <si>
    <t>01012345613</t>
  </si>
  <si>
    <t>قضايا العنف ضد المرأة - بندر بني سويف - السبت</t>
  </si>
  <si>
    <t>صحة توقيع - بندر بني سويف - الأحد</t>
  </si>
  <si>
    <t>صحة توقيع - بندر بني سويف - الاثنين</t>
  </si>
  <si>
    <t>جنح ومخالفات بندر بني سويف (2، 3) وأصفارها - السبت</t>
  </si>
  <si>
    <t>القضايا الماسة بأمن البلاد - بندر بني سويف - السبت</t>
  </si>
  <si>
    <t>جنح ومخالفات بندر بني سويف (4، 5) وأصفارها - الاثنين</t>
  </si>
  <si>
    <t>جنح ومخالفات بندر بني سويف (6، 7) وأصفارها - الثلاثاء</t>
  </si>
  <si>
    <t>جنح البيئة - بندر بني سويف - الثلاثاء</t>
  </si>
  <si>
    <t>جنح الإرهاب - بندر بني سويف - الثلاثاء</t>
  </si>
  <si>
    <t>جنح العنف ضد الطفل - بندر بني سويف - الثلاثاء</t>
  </si>
  <si>
    <t>جنح التعاطي والاتجار في المواد المخدرة - بندر بني سويف - الثلاثاء</t>
  </si>
  <si>
    <t>جنح الهجرة غير الشرعية - بندر بني سويف - الثلاثاء</t>
  </si>
  <si>
    <t>صحة توقيع - بندر بني سويف - الأربعاء</t>
  </si>
  <si>
    <t>صحة توقيع - بندر بني سويف - الثلاثاء</t>
  </si>
  <si>
    <t>جنح ومخالفات بندر بني سويف (8، 9) وأصفارها - الأربعاء</t>
  </si>
  <si>
    <t>جنح ومخالفات مركز بني سويف (1، 2) وأصفارها - السبت</t>
  </si>
  <si>
    <t>صحة توقيع - مركز بني سويف - الأحد</t>
  </si>
  <si>
    <t>مروان رفعت عبد الحميد</t>
  </si>
  <si>
    <t>01012345615</t>
  </si>
  <si>
    <t>صحة توقيع - مركز بني سويف - الاثنين</t>
  </si>
  <si>
    <t>جنح ومخالفات مركز بني سويف (3) وأصفارها - الثلاثاء</t>
  </si>
  <si>
    <t>جنح ومخالفات البناء والتعدي على أملاك الدولة - مركز بني سويف - الثلاثاء</t>
  </si>
  <si>
    <t>صحة توقيع - مركز بني سويف - الأربعاء</t>
  </si>
  <si>
    <t>جنح ومخالفات مركز بني سويف (4، 5) وأصفارها - الخميس</t>
  </si>
  <si>
    <t>جنح ومخالفات مركز بني سويف (6، 7) وأصفارها - الثلاثاء</t>
  </si>
  <si>
    <t>جنح البيئة - مركز بني سويف - الثلاثاء</t>
  </si>
  <si>
    <t>قضايا العنف ضد المرأة - مركز بني سويف - الثلاثاء</t>
  </si>
  <si>
    <t>جنح الإرهاب - مركز بني سويف - الثلاثاء</t>
  </si>
  <si>
    <t>جنح العنف ضد الطفل - مركز بني سويف - الثلاثاء</t>
  </si>
  <si>
    <t>جنح التعاطي والاتجار في المواد المخدرة - مركز بني سويف - الثلاثاء</t>
  </si>
  <si>
    <t>بهاء الدين يوسف زكي</t>
  </si>
  <si>
    <t>01012345614</t>
  </si>
  <si>
    <t>جنح الهجرة غير الشرعية - مركز الواسطى - الثلاثاء</t>
  </si>
  <si>
    <t>جنح ومخالفات مركز بني سويف (8، 9) وأصفارها - الخميس</t>
  </si>
  <si>
    <t>جنح ومخالفات وتظلمات المرور - بندر ومركز بني سويف - الخميس</t>
  </si>
  <si>
    <t>جنح ومخالفات مركز الواسطى (1، 2، 3) - السبت</t>
  </si>
  <si>
    <t>صحة توقيع - مركز الواسطى - الأحد</t>
  </si>
  <si>
    <t>جنح ومخالفات مركز الواسطى (4) - الثلاثاء</t>
  </si>
  <si>
    <t>جنح ومخالفات وتظلمات المرور - مركز الواسطى - الثلاثاء</t>
  </si>
  <si>
    <t>صحة توقيع - مركز الواسطى - الأربعاء</t>
  </si>
  <si>
    <t>جنح ومخالفات مركز الواسطى (5، 6) - الخميس</t>
  </si>
  <si>
    <t>صحة توقيع - مركز الواسطى - الثلاثاء</t>
  </si>
  <si>
    <t>جنح ومخالفات مركز الواسطى (7، 8) - الأربعاء</t>
  </si>
  <si>
    <t>جنح البيئة - مركز الواسطى - الأربعاء</t>
  </si>
  <si>
    <t>قضايا العنف ضد المرأة - مركز الواسطى - الأربعاء</t>
  </si>
  <si>
    <t>جنح الإرهاب - مركز الواسطى - الأربعاء</t>
  </si>
  <si>
    <t>جنح العنف ضد الطفل - مركز الواسطى - الأربعاء</t>
  </si>
  <si>
    <t>جنح التعاطي والاتجار في المواد المخدرة - مركز الواسطى - الأربعاء</t>
  </si>
  <si>
    <t>جنح الهجرة غير الشرعية - مركز الواسطى - الأربعاء</t>
  </si>
  <si>
    <t>جنح ومخالفات مركز الواسطى (9، 0) - الخميس</t>
  </si>
  <si>
    <t>جنح ومخالفات مركز ناصر (1، 2، 3) - السبت</t>
  </si>
  <si>
    <t>صحة توقيع - مركز ناصر - الأحد</t>
  </si>
  <si>
    <t>جنح ومخالفات مركز ناصر (4، 5، 6) - الاثنين</t>
  </si>
  <si>
    <t>جنح ومخالفات وتظلمات المرور - مركز ناصر - الاثنين</t>
  </si>
  <si>
    <t>صحة توقيع - مركز ناصر - الثلاثاء</t>
  </si>
  <si>
    <t>جنح ومخالفات مركز ناصر (7) - الأربعاء</t>
  </si>
  <si>
    <t>جنح ومخالفات مركز ناصر (8، 9، 0) - الخميس</t>
  </si>
  <si>
    <t>جنح البيئة - مركز ناصر - الخميس</t>
  </si>
  <si>
    <t>قضايا العنف ضد المرأة - مركز ناصر - الخميس</t>
  </si>
  <si>
    <t>جنح الإرهاب - مركز ناصر - الخميس</t>
  </si>
  <si>
    <t>جنح العنف ضد الطفل - مركز ناصر - الخميس</t>
  </si>
  <si>
    <t>جنح التعاطي والاتجار في المواد المخدرة - مركز ناصر - الخميس</t>
  </si>
  <si>
    <t>جنح الهجرة غير الشرعية - مركز ناصر - الخميس</t>
  </si>
  <si>
    <t>جنح ومخالفات مركز إهناسيا (1، 2، 3) - السبت</t>
  </si>
  <si>
    <t>جنح البيئة - مركز إهناسيا - السبت</t>
  </si>
  <si>
    <t>قضايا العنف ضد المرأة - مركز إهناسيا - السبت</t>
  </si>
  <si>
    <t>جنح الإرهاب - مركز إهناسيا - السبت</t>
  </si>
  <si>
    <t>جنح العنف ضد الطفل - مركز إهناسيا - السبت</t>
  </si>
  <si>
    <t>جنح التعاطي والاتجار في المواد المخدرة - مركز إهناسيا - السبت</t>
  </si>
  <si>
    <t>جنح الهجرة غير الشرعية - مركز إهناسيا - السبت</t>
  </si>
  <si>
    <t>جنح ومخالفات مركز إهناسيا (4، 5، 6) - الأحد</t>
  </si>
  <si>
    <t>جنح ومخالفات وتظلمات المرور - مركز إهناسيا - الأحد</t>
  </si>
  <si>
    <t>صحة توقيع - مركز إهناسيا - الاثنين</t>
  </si>
  <si>
    <t>جنح ومخالفات مركز إهناسيا (7، 8، 9) - الثلاثاء</t>
  </si>
  <si>
    <t>جنح ومخالفات مركز إهناسيا (0) - الأربعاء</t>
  </si>
  <si>
    <t>جنح ومخالفات البناء والتعدي على أملاك الدولة - مركز إهناسيا - الأربعاء</t>
  </si>
  <si>
    <t>صحة توقيع - مركز إهناسيا - الخميس</t>
  </si>
  <si>
    <t>جنح ومخالفات مركز ببا (1) - السبت</t>
  </si>
  <si>
    <t>صحة توقيع - مركز ببا - الأحد</t>
  </si>
  <si>
    <t>جنح ومخالفات مركز ببا (2، 3) - الاثنين</t>
  </si>
  <si>
    <t>جنح البيئة - مركز ببا - الاثنين</t>
  </si>
  <si>
    <t>قضايا العنف ضد المرأة - مركز ببا - الاثنين</t>
  </si>
  <si>
    <t>جنح الإرهاب - مركز ببا - الاثنين</t>
  </si>
  <si>
    <t>جنح العنف ضد الطفل - مركز ببا - الاثنين</t>
  </si>
  <si>
    <t>جنح التعاطي والاتجار في المواد المخدرة - مركز ببا - الاثنين</t>
  </si>
  <si>
    <t>جنح الهجرة غير الشرعية - مركز ببا - الاثنين</t>
  </si>
  <si>
    <t>جنح ومخالفات مركز ببا (4، 5) - الثلاثاء</t>
  </si>
  <si>
    <t>صحة توقيع - مركز ببا - الأربعاء</t>
  </si>
  <si>
    <t>جنح ومخالفات مركز ببا (6، 7) - الخميس</t>
  </si>
  <si>
    <t>جنح ومخالفات وتظلمات المرور - مركز ببا - الخميس</t>
  </si>
  <si>
    <t>صحة توقيع - مركز ببا - الثلاثاء</t>
  </si>
  <si>
    <t>جنح ومخالفات مركز ببا (8، 9) - الأربعاء</t>
  </si>
  <si>
    <t>جنح ومخالفات مركز ببا (0) - الخميس</t>
  </si>
  <si>
    <t>جنح ومخالفات مركز الفشن (1) - السبت</t>
  </si>
  <si>
    <t>جنح ومخالفات وتظلمات المرور - مركز الفشن - السبت</t>
  </si>
  <si>
    <t>جنح ومخالفات مركز الفشن (2، 3) - الأحد</t>
  </si>
  <si>
    <t>جنح البيئة - مركز الفشن - الأحد</t>
  </si>
  <si>
    <t>جنح الإرهاب - مركز الفشن - الأحد</t>
  </si>
  <si>
    <t>جنح العنف ضد الطفل - مركز الفشن - الأحد</t>
  </si>
  <si>
    <t>جنح التعاطي والاتجار في المواد المخدرة - مركز الفشن - الأحد</t>
  </si>
  <si>
    <t>جنح الهجرة غير الشرعية - مركز الفشن - الأحد</t>
  </si>
  <si>
    <t>صحة توقيع - مركز الفشن - الاثنين</t>
  </si>
  <si>
    <t>صحة توقيع - مركز الفشن - السبت</t>
  </si>
  <si>
    <t>جنح ومخالفات مركز الفشن (4، 5) - الأحد</t>
  </si>
  <si>
    <t>جنح ومخالفات مركز الفشن (6، 7) - الاثنين</t>
  </si>
  <si>
    <t>جنح ومخالفات مركز الفشن (8) - الثلاثاء</t>
  </si>
  <si>
    <t>جنح ومخالفات البناء والتعدي على أملاك الدولة - مركز الفشن - الثلاثاء</t>
  </si>
  <si>
    <t>صحة توقيع - مركز الفشن - الأربعاء</t>
  </si>
  <si>
    <t>جنح ومخالفات مركز الفشن (9، 0) - الخميس</t>
  </si>
  <si>
    <t>جنح ومخالفات مركز سمسطا (1، 2، 3) وأصفارها - السبت</t>
  </si>
  <si>
    <t>جنح البيئة - مركز سمسطا - السبت</t>
  </si>
  <si>
    <t>قضايا العنف ضد المرأة - مركز سمسطا - السبت</t>
  </si>
  <si>
    <t>جنح الإرهاب - مركز سمسطا - السبت</t>
  </si>
  <si>
    <t>جنح العنف ضد الطفل - مركز سمسطا - السبت</t>
  </si>
  <si>
    <t>جنح التعاطي والاتجار في المواد المخدرة - مركز سمسطا - السبت</t>
  </si>
  <si>
    <t>جنح الهجرة غير الشرعية - مركز سمسطا - السبت</t>
  </si>
  <si>
    <t>جنح ومخالفات مركز سمسطا (4، 5) وأصفارها - الأحد</t>
  </si>
  <si>
    <t>جنح ومخالفات وتظلمات المرور - مركز سمسطا - الأحد</t>
  </si>
  <si>
    <t>جنح ومخالفات البناء والتعدي على أملاك الدولة - مركز سمسطا - الأحد</t>
  </si>
  <si>
    <t>صحة توقيع - مركز سمسطا - الاثنين</t>
  </si>
  <si>
    <t>جنح ومخالفات مركز سمسطا (6، 7، 8، 9) وأصفارها - الثلاثاء</t>
  </si>
  <si>
    <t>صحة توقيع - مركز سمسطا - الأربعاء</t>
  </si>
  <si>
    <t>صحة توقيع - مركز سمسطا - الخميس</t>
  </si>
  <si>
    <t>مدني بندر بني سويف (1، 2) - الأحد</t>
  </si>
  <si>
    <t>مدني بندر بني سويف (3، 4) - الاثنين</t>
  </si>
  <si>
    <t>مدني بندر بني سويف (5، 6) - الأحد</t>
  </si>
  <si>
    <t>مدني بندر بني سويف (7، 8) - الأربعاء</t>
  </si>
  <si>
    <t>مدني حكومة بندر بني سويف - الخميس</t>
  </si>
  <si>
    <t>مدني بندر بني سويف (9، 0) - الثلاثاء</t>
  </si>
  <si>
    <t>مدني بندر بني سويف قديم - الثلاثاء</t>
  </si>
  <si>
    <t>مدني مستعجل البندر والمركز - الخميس</t>
  </si>
  <si>
    <t>مدني مركز بني سويف (1، 2، 3) - الأحد</t>
  </si>
  <si>
    <t>مدني مركز بني سويف قديم - الأحد</t>
  </si>
  <si>
    <t>مدني مركز بني سويف (4، 5) - الاثنين</t>
  </si>
  <si>
    <t>مدني مركز بني سويف (6، 7) - الأربعاء</t>
  </si>
  <si>
    <t>مدني مركز بني سويف (8، 9، 0) - الأربعاء</t>
  </si>
  <si>
    <t>مدني مركز الواسطى (1، 2، 3) وأصفارها - الأحد</t>
  </si>
  <si>
    <t>مدني مركز الواسطى (4، 5) وأصفارها - الاثنين</t>
  </si>
  <si>
    <t>مدني مركز الواسطى (6) وأصفارها - الأربعاء</t>
  </si>
  <si>
    <t>مدني مستعجل - مركز الواسطى - الأربعاء</t>
  </si>
  <si>
    <t>مدني مركز الواسطى قديم - الأربعاء</t>
  </si>
  <si>
    <t>مدني مركز الواسطى (7، 8، 9) وأصفارها - الثلاثاء</t>
  </si>
  <si>
    <t>مدني مركز ناصر (زوجي) - الأحد</t>
  </si>
  <si>
    <t>مدني مركز ناصر قديم - الأحد</t>
  </si>
  <si>
    <t>مدني مركز ناصر (فردي) - الثلاثاء</t>
  </si>
  <si>
    <t>مدني مستعجل - مركز ناصر - الثلاثاء</t>
  </si>
  <si>
    <t>مدني مركز إهناسيا (فردي) - الاثنين</t>
  </si>
  <si>
    <t>مدني مركز إهناسيا قديم - الاثنين</t>
  </si>
  <si>
    <t>مدني مركز إهناسيا (زوجي) - الخميس</t>
  </si>
  <si>
    <t>مدني مستعجل - مركز إهناسيا - الخميس</t>
  </si>
  <si>
    <t>مدني مركز ببا (1، 2، 3) وأصفارها - الأحد</t>
  </si>
  <si>
    <t>مدني مركز ببا (4، 5، 6) وأصفارها - الأربعاء</t>
  </si>
  <si>
    <t>مدني مستعجل - مركز ببا - الأربعاء</t>
  </si>
  <si>
    <t>مدني مركز ببا (7، 8، 9) وأصفارها - الثلاثاء</t>
  </si>
  <si>
    <t>مدني مركز ببا قديم - الثلاثاء</t>
  </si>
  <si>
    <t>مدني مركز الفشن (4، 5، 6) وأصفارها - الاثنين</t>
  </si>
  <si>
    <t>مدني مركز الفشن (1، 2، 3) وأصفارها - السبت</t>
  </si>
  <si>
    <t>مدني مركز الفشن قديم - السبت</t>
  </si>
  <si>
    <t>مدني مركز الفشن (7، 8، 9) وأصفارها - الأربعاء</t>
  </si>
  <si>
    <t>مدني مستعجل - مركز الفشن - الأربعاء</t>
  </si>
  <si>
    <t>مدني مركز سمسطا (1، 2، 3) وأصفارها - الاثنين</t>
  </si>
  <si>
    <t>مدني مستعجل - مركز سمسطا - الاثنين</t>
  </si>
  <si>
    <t>مدني مركز سمسطا قديم - الاثنين</t>
  </si>
  <si>
    <t>مدني مركز سمسطا (4، 5، 6) وأصفارها - الأربعاء</t>
  </si>
  <si>
    <t>مدني مركز سمسطا (7، 8، 9) وأصفارها - الخميس</t>
  </si>
  <si>
    <t>احمد عبد الناصر محمود عبد العليم</t>
  </si>
  <si>
    <t>1</t>
  </si>
  <si>
    <t>أ</t>
  </si>
  <si>
    <t>رئيس الدائرة</t>
  </si>
  <si>
    <t/>
  </si>
  <si>
    <t>احمد مصطفى محمد محمد صادق الوكيل</t>
  </si>
  <si>
    <t>2</t>
  </si>
  <si>
    <t>عضو يمين</t>
  </si>
  <si>
    <t>خالد محمد شاكر عبد الرحمن</t>
  </si>
  <si>
    <t>3</t>
  </si>
  <si>
    <t>عضو يسار</t>
  </si>
  <si>
    <t>محمود عبدالمنعم حسين حسان</t>
  </si>
  <si>
    <t>احمد فايز مصطفى احمد باشا</t>
  </si>
  <si>
    <t>محمود رضا عبد المعز محمد</t>
  </si>
  <si>
    <t>اسلام مصطفى محمود خليفة</t>
  </si>
  <si>
    <t>4</t>
  </si>
  <si>
    <t>عضو يسار اليسار</t>
  </si>
  <si>
    <t>احمد حسن احمد عبد الرحيم</t>
  </si>
  <si>
    <t>احمد عبد الهادي محمد خليفه</t>
  </si>
  <si>
    <t>عمرو عبد الفتاح عبد النبي ابراهيم</t>
  </si>
  <si>
    <t>طارق مدحت جلال حسن</t>
  </si>
  <si>
    <t>عمرو عبد الوهاب علي محمد</t>
  </si>
  <si>
    <t>حسام الدين محمود عبد الباسط رسلان</t>
  </si>
  <si>
    <t>عبد الله سيد عبد الله عبد المطلب</t>
  </si>
  <si>
    <t>محمد احمد فاروق عبد الرحمن</t>
  </si>
  <si>
    <t>عمرو البرنس عبد الفتاح حسين</t>
  </si>
  <si>
    <t>محمود حسن قرني حسن</t>
  </si>
  <si>
    <t>رائد محمد ربيع جاد</t>
  </si>
  <si>
    <t>حاتم مجدي عبد الله عبد المطلب</t>
  </si>
  <si>
    <t>محمد فخري راشد ابراهيم</t>
  </si>
  <si>
    <t>محمد احمد محمود محمد كامل</t>
  </si>
  <si>
    <t>احمد صلاح محمد احمد</t>
  </si>
  <si>
    <t>احمد محمد سيد مراد</t>
  </si>
  <si>
    <t>عبد الرحمن صلاح سالم علي</t>
  </si>
  <si>
    <t>محمد احمد سمير عبد العزيز يوسف</t>
  </si>
  <si>
    <t>محمد سمير فايزي عبدالحميد</t>
  </si>
  <si>
    <t>حسام الدين مختار زكي قطب</t>
  </si>
  <si>
    <t>طارق زين العابدين صديق محمد</t>
  </si>
  <si>
    <t>عدنان حسام الدين محمد حسني</t>
  </si>
  <si>
    <t>محمد فرحات عبد العظيم عبد الجواد</t>
  </si>
  <si>
    <t>محمود محمد محمد سيد عطوة</t>
  </si>
  <si>
    <t>احمد معوض كمال الدين عبد القادر</t>
  </si>
  <si>
    <t>محمود احمد سيد سليمان</t>
  </si>
  <si>
    <t>محمد اشرف محمد مخلوف</t>
  </si>
  <si>
    <t>محمد مجدي حسن توفيق مفتاح</t>
  </si>
  <si>
    <t>احمد عمرو عبد الفتاح حسن الحنفي</t>
  </si>
  <si>
    <t>علاء الدين طه احمد محمد</t>
  </si>
  <si>
    <t>عبد الرحمن احمد كمال الدين محمد خليل</t>
  </si>
  <si>
    <t>احمد اسامة محمد كامل البحيري</t>
  </si>
  <si>
    <t>محمود محمد السيد عبد العزيز</t>
  </si>
  <si>
    <t>محمود إسماعيل مكي إسماعيل العفيفي</t>
  </si>
  <si>
    <t>احمد عبد الفتاح ابراهيم احمد الفقي</t>
  </si>
  <si>
    <t>محمد رضا عبد السلام محمود</t>
  </si>
  <si>
    <t>بهاء خضر طلبه حسين</t>
  </si>
  <si>
    <t>احمد حسام الدين حمزة محمد</t>
  </si>
  <si>
    <t>محمد فايق عبد الحميد علي</t>
  </si>
  <si>
    <t>احمد فراج جابر زيدان</t>
  </si>
  <si>
    <t>احمد علي نجاتي احمد</t>
  </si>
  <si>
    <t>محمد عبد الصمد محمد سعيد</t>
  </si>
  <si>
    <t>محمود حسن شحاته محمد</t>
  </si>
  <si>
    <t>مروة إيهاب سيد حافظ</t>
  </si>
  <si>
    <t>محمد سيد درويش متولي القطيري</t>
  </si>
  <si>
    <t>مصطفى محمود عبد الرحمن احمد</t>
  </si>
  <si>
    <t>حازم محمد عبد المحسن محمد شيحه</t>
  </si>
  <si>
    <t>بسمه علي يحيى عبد المجيد اليماني</t>
  </si>
  <si>
    <t>محمد يوسف سيد مرسي</t>
  </si>
  <si>
    <t>ريهام حسن ابراهيم حسن</t>
  </si>
  <si>
    <t>هشام محمد أبو الخير شعيب احمد</t>
  </si>
  <si>
    <t>ادهم ابراهيم سيد سليمان</t>
  </si>
  <si>
    <t>احمد محمد محمود فؤاد</t>
  </si>
  <si>
    <t>اسلام محمد سيد عبد القادر</t>
  </si>
  <si>
    <t>احمد محمد ربيع احمد عبد الصالحين</t>
  </si>
  <si>
    <t>محمود عادل محمود عبد اللطيف</t>
  </si>
  <si>
    <t>احمد عادل محمود علي</t>
  </si>
  <si>
    <t>ابراهيم مجدي زين العابدين محمد</t>
  </si>
  <si>
    <t>محمود عادل عبد الله عبد المطلب</t>
  </si>
  <si>
    <t>احمد حسن احمد ابراهيم القاضي</t>
  </si>
  <si>
    <t>عمر صلاح محمد زكي</t>
  </si>
  <si>
    <t>حسن عاطف حسن عبد الجيد</t>
  </si>
  <si>
    <t>محمد محمد بكري عبد الله محمد</t>
  </si>
  <si>
    <t>محمود محمد أنور يسن احمد</t>
  </si>
  <si>
    <t>حسين محمد عبد العظيم مصطفى</t>
  </si>
  <si>
    <t>اسامه محروس اسعد حسن</t>
  </si>
  <si>
    <t>محمود احمد أبو الخير محمد محمد</t>
  </si>
  <si>
    <t>احمد صلاح محمود صالح</t>
  </si>
  <si>
    <t>محمد سامح حلمي مرسي</t>
  </si>
  <si>
    <t>محمد حافظ عباس امين</t>
  </si>
  <si>
    <t>مصطفى محمد ربيع احمد عبد الصالحين</t>
  </si>
  <si>
    <t>محمد احمد شوقي عبد العظيم سيد</t>
  </si>
  <si>
    <t>محمود مسامح محمود عثمان</t>
  </si>
  <si>
    <t>حازم حسن احمد ابراهيم</t>
  </si>
  <si>
    <t>ابراهيم عصام ابراهيم علي</t>
  </si>
  <si>
    <t>احمد سعيد محمد سعيد</t>
  </si>
  <si>
    <t>محمد جمال نصار عبد الباقي</t>
  </si>
  <si>
    <t>احمد رأفت عبد التواب عبد العزيز جاد</t>
  </si>
  <si>
    <t>محمود سيد زكي سكر</t>
  </si>
  <si>
    <t>اسلام خميس علي مجاور عمار</t>
  </si>
  <si>
    <t>اسامه أبو بكر الصديق حامد عبد العظيم</t>
  </si>
  <si>
    <t>محمد الغربي محمد احمد</t>
  </si>
  <si>
    <t>علاء خضر طلبه حسين</t>
  </si>
  <si>
    <t>جمال محمد احمد عبد اللطيف</t>
  </si>
  <si>
    <t>احمد محمد محمود محمد علي</t>
  </si>
  <si>
    <t>محمد سيد علي ابراهيم</t>
  </si>
  <si>
    <t>محمد طاهر بشتي احمد</t>
  </si>
  <si>
    <t>حسام عمر توفيق عبد الغني</t>
  </si>
  <si>
    <t>محمد عبد الحميد عبد الحميد احمد مرزوق</t>
  </si>
  <si>
    <t>احمد عصام ابراهيم علي</t>
  </si>
  <si>
    <t>احمد سيد علي طلبه</t>
  </si>
  <si>
    <t>فريد محمد فريد عبد الحفيظ</t>
  </si>
  <si>
    <t>احمد نبيل حفيظ محمد</t>
  </si>
  <si>
    <t>مصطفى محمد خليل عوض بيومي</t>
  </si>
  <si>
    <t>اسامة محمد ممدوح عبد العظيم طه</t>
  </si>
  <si>
    <t>عمرو احمد عبد الوهاب علي</t>
  </si>
  <si>
    <t>عمار ياسر جميل عبد العليم</t>
  </si>
  <si>
    <t>عمرو احمد محمد احمد سليمان</t>
  </si>
  <si>
    <t>هند محمد ابراهيم أبو سيف</t>
  </si>
  <si>
    <t>احمد محمود إسماعيل محمود عبد الحميد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</si>
</sst>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FFFFFF"/>
      <name val="Segoe UI"/>
      <family val="2"/>
    </font>
    <font>
      <b/>
      <sz val="10"/>
      <color rgb="FF1E3A8A"/>
      <name val="Segoe UI"/>
      <family val="2"/>
    </font>
    <font>
      <b/>
      <sz val="10"/>
      <color rgb="FF92400E"/>
      <name val="Segoe UI"/>
      <family val="2"/>
    </font>
    <font>
      <b/>
      <sz val="10"/>
      <color rgb="FF3730A3"/>
      <name val="Segoe UI"/>
      <family val="2"/>
    </font>
    <font>
      <b/>
      <sz val="10"/>
      <color rgb="FF115E59"/>
      <name val="Segoe UI"/>
      <family val="2"/>
    </font>
    <font>
      <sz val="9.5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B45309"/>
      </patternFill>
    </fill>
    <fill>
      <patternFill patternType="solid">
        <fgColor rgb="FF4338CA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CCFBF1"/>
      </patternFill>
    </fill>
  </fills>
  <borders count="15">
    <border>
      <left/>
      <right/>
      <top/>
      <bottom/>
      <diagonal/>
    </border>
    <border>
      <left style="medium">
        <color rgb="FF1E3A8A"/>
      </left>
      <right/>
      <top style="medium">
        <color rgb="FF1E3A8A"/>
      </top>
      <bottom style="medium">
        <color rgb="FF1E3A8A"/>
      </bottom>
      <diagonal/>
    </border>
    <border>
      <left/>
      <right/>
      <top style="medium">
        <color rgb="FF1E3A8A"/>
      </top>
      <bottom style="medium">
        <color rgb="FF1E3A8A"/>
      </bottom>
      <diagonal/>
    </border>
    <border>
      <left/>
      <right style="medium">
        <color rgb="FF1E3A8A"/>
      </right>
      <top style="medium">
        <color rgb="FF1E3A8A"/>
      </top>
      <bottom style="medium">
        <color rgb="FF1E3A8A"/>
      </bottom>
      <diagonal/>
    </border>
    <border>
      <left style="medium">
        <color rgb="FFB45309"/>
      </left>
      <right/>
      <top style="medium">
        <color rgb="FFB45309"/>
      </top>
      <bottom style="medium">
        <color rgb="FFB45309"/>
      </bottom>
      <diagonal/>
    </border>
    <border>
      <left/>
      <right/>
      <top style="medium">
        <color rgb="FFB45309"/>
      </top>
      <bottom style="medium">
        <color rgb="FFB45309"/>
      </bottom>
      <diagonal/>
    </border>
    <border>
      <left/>
      <right style="medium">
        <color rgb="FFB45309"/>
      </right>
      <top style="medium">
        <color rgb="FFB45309"/>
      </top>
      <bottom style="medium">
        <color rgb="FFB45309"/>
      </bottom>
      <diagonal/>
    </border>
    <border>
      <left style="medium">
        <color rgb="FF4338CA"/>
      </left>
      <right/>
      <top style="medium">
        <color rgb="FF4338CA"/>
      </top>
      <bottom style="medium">
        <color rgb="FF4338CA"/>
      </bottom>
      <diagonal/>
    </border>
    <border>
      <left/>
      <right/>
      <top style="medium">
        <color rgb="FF4338CA"/>
      </top>
      <bottom style="medium">
        <color rgb="FF4338CA"/>
      </bottom>
      <diagonal/>
    </border>
    <border>
      <left/>
      <right style="medium">
        <color rgb="FF4338CA"/>
      </right>
      <top style="medium">
        <color rgb="FF4338CA"/>
      </top>
      <bottom style="medium">
        <color rgb="FF4338CA"/>
      </bottom>
      <diagonal/>
    </border>
    <border>
      <left style="medium">
        <color rgb="FF0F766E"/>
      </left>
      <right/>
      <top style="medium">
        <color rgb="FF0F766E"/>
      </top>
      <bottom style="medium">
        <color rgb="FF0F766E"/>
      </bottom>
      <diagonal/>
    </border>
    <border>
      <left/>
      <right/>
      <top style="medium">
        <color rgb="FF0F766E"/>
      </top>
      <bottom style="medium">
        <color rgb="FF0F766E"/>
      </bottom>
      <diagonal/>
    </border>
    <border>
      <left/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5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357"/>
  <sheetViews>
    <sheetView rightToLeft="1" tabSelected="1" workbookViewId="0">
      <selection activeCell="H4" sqref="H4"/>
    </sheetView>
  </sheetViews>
  <sheetFormatPr defaultRowHeight="14.4" x14ac:dyDescent="0.3"/>
  <cols>
    <col min="1" max="1" width="14.6640625" customWidth="1"/>
    <col min="2" max="2" width="34.6640625" customWidth="1"/>
    <col min="3" max="3" width="28.6640625" customWidth="1"/>
    <col min="4" max="4" width="18.6640625" customWidth="1"/>
    <col min="5" max="5" width="12.6640625" customWidth="1"/>
    <col min="6" max="6" width="34.6640625" customWidth="1"/>
    <col min="7" max="7" width="14.6640625" customWidth="1"/>
    <col min="8" max="8" width="18.6640625" customWidth="1"/>
    <col min="9" max="9" width="14.6640625" customWidth="1"/>
    <col min="10" max="10" width="36.6640625" customWidth="1"/>
    <col min="11" max="11" width="24.6640625" customWidth="1"/>
    <col min="12" max="12" width="21.77734375" customWidth="1"/>
    <col min="13" max="13" width="15.109375" customWidth="1"/>
    <col min="14" max="14" width="34.5546875" customWidth="1"/>
    <col min="15" max="15" width="20.33203125" customWidth="1"/>
    <col min="16" max="16" width="15.33203125" customWidth="1"/>
    <col min="17" max="17" width="26.44140625" customWidth="1"/>
    <col min="18" max="18" width="24.21875" customWidth="1"/>
    <col min="19" max="19" width="23.88671875" customWidth="1"/>
    <col min="20" max="20" width="30.109375" customWidth="1"/>
    <col min="21" max="21" width="19" customWidth="1"/>
    <col min="22" max="22" width="14.5546875" customWidth="1"/>
    <col min="23" max="23" width="29.88671875" customWidth="1"/>
    <col min="24" max="24" width="26.6640625" customWidth="1"/>
    <col min="25" max="25" width="23.5546875" customWidth="1"/>
    <col min="26" max="26" width="28.5546875" customWidth="1"/>
    <col min="27" max="27" width="19.109375" customWidth="1"/>
    <col min="28" max="28" width="23.88671875" customWidth="1"/>
    <col min="29" max="29" width="16.44140625" customWidth="1"/>
    <col min="30" max="30" width="18.44140625" customWidth="1"/>
    <col min="31" max="31" width="14.6640625" customWidth="1"/>
    <col min="32" max="32" width="12.6640625" customWidth="1"/>
    <col min="33" max="33" width="17.44140625" customWidth="1"/>
    <col min="34" max="34" width="11.109375" customWidth="1"/>
    <col min="35" max="35" width="54.33203125" customWidth="1"/>
    <col min="36" max="37" width="14.6640625" customWidth="1"/>
    <col min="38" max="38" width="11.77734375" customWidth="1"/>
    <col min="39" max="39" width="14.6640625" customWidth="1"/>
  </cols>
  <sheetData>
    <row r="2" spans="1:39" ht="28.05" customHeight="1" x14ac:dyDescent="0.3">
      <c r="A2" s="12" t="s">
        <v>0</v>
      </c>
      <c r="B2" s="11"/>
      <c r="C2" s="11"/>
      <c r="D2" s="11"/>
      <c r="E2" s="10"/>
      <c r="F2" s="9" t="s">
        <v>1</v>
      </c>
      <c r="G2" s="8"/>
      <c r="H2" s="8"/>
      <c r="I2" s="8"/>
      <c r="J2" s="8"/>
      <c r="K2" s="8"/>
      <c r="L2" s="8"/>
      <c r="M2" s="8"/>
      <c r="N2" s="8"/>
      <c r="O2" s="8"/>
      <c r="P2" s="7"/>
      <c r="Q2" s="6" t="s">
        <v>2</v>
      </c>
      <c r="R2" s="5"/>
      <c r="S2" s="5"/>
      <c r="T2" s="5"/>
      <c r="U2" s="5"/>
      <c r="V2" s="5"/>
      <c r="W2" s="5"/>
      <c r="X2" s="5"/>
      <c r="Y2" s="5"/>
      <c r="Z2" s="4"/>
      <c r="AB2" s="3" t="s"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</row>
    <row r="4" spans="1:39" ht="25.95" customHeight="1" x14ac:dyDescent="0.3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4" t="s">
        <v>9</v>
      </c>
      <c r="G4" s="14" t="s">
        <v>4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5" t="s">
        <v>19</v>
      </c>
      <c r="R4" s="15" t="s">
        <v>20</v>
      </c>
      <c r="S4" s="15" t="s">
        <v>21</v>
      </c>
      <c r="T4" s="15" t="s">
        <v>22</v>
      </c>
      <c r="U4" s="15" t="s">
        <v>4</v>
      </c>
      <c r="V4" s="15" t="s">
        <v>9</v>
      </c>
      <c r="W4" s="15" t="s">
        <v>10</v>
      </c>
      <c r="X4" s="15" t="s">
        <v>23</v>
      </c>
      <c r="Y4" s="15" t="s">
        <v>24</v>
      </c>
      <c r="Z4" s="15" t="s">
        <v>25</v>
      </c>
      <c r="AB4" s="16" t="s">
        <v>26</v>
      </c>
      <c r="AC4" s="16" t="s">
        <v>27</v>
      </c>
      <c r="AE4" s="16" t="s">
        <v>7</v>
      </c>
      <c r="AG4" s="16" t="s">
        <v>10</v>
      </c>
      <c r="AI4" s="16" t="s">
        <v>13</v>
      </c>
      <c r="AJ4" s="14" t="s">
        <v>28</v>
      </c>
      <c r="AK4" s="16" t="s">
        <v>14</v>
      </c>
      <c r="AM4" s="16" t="s">
        <v>29</v>
      </c>
    </row>
    <row r="5" spans="1:39" x14ac:dyDescent="0.3">
      <c r="A5" s="17">
        <v>49</v>
      </c>
      <c r="B5" s="18" t="s">
        <v>139</v>
      </c>
      <c r="C5" s="18" t="s">
        <v>31</v>
      </c>
      <c r="D5" s="17" t="s">
        <v>62</v>
      </c>
      <c r="E5" s="17" t="s">
        <v>140</v>
      </c>
      <c r="F5" s="18" t="str">
        <f t="shared" ref="F5:F68" si="0">IFERROR(VLOOKUP(G5, $A$5:$B$53, 2, FALSE), "")</f>
        <v>الدائرة الأولى مدني كلي</v>
      </c>
      <c r="G5" s="17">
        <v>57</v>
      </c>
      <c r="H5" s="17" t="s">
        <v>60</v>
      </c>
      <c r="I5" s="17">
        <v>200313</v>
      </c>
      <c r="J5" s="18" t="s">
        <v>171</v>
      </c>
      <c r="K5" s="18" t="s">
        <v>60</v>
      </c>
      <c r="L5" s="17" t="s">
        <v>131</v>
      </c>
      <c r="M5" s="17">
        <v>6</v>
      </c>
      <c r="N5" s="18" t="str">
        <f t="shared" ref="N5:N68" si="1">IFERROR(VLOOKUP(G5, $A$5:$C$53, 3, FALSE), "")</f>
        <v>محكمة بني سويف الابتدائية</v>
      </c>
      <c r="O5" s="18" t="s">
        <v>172</v>
      </c>
      <c r="P5" s="17" t="s">
        <v>173</v>
      </c>
      <c r="Q5" s="17">
        <v>230149</v>
      </c>
      <c r="R5" s="18" t="s">
        <v>540</v>
      </c>
      <c r="S5" s="17" t="s">
        <v>541</v>
      </c>
      <c r="T5" s="17" t="s">
        <v>542</v>
      </c>
      <c r="U5" s="17">
        <v>49</v>
      </c>
      <c r="V5" s="18" t="str">
        <f t="shared" ref="V5:V36" si="2">IFERROR(VLOOKUP(U5, $A$5:$B$53, 2, FALSE), "")</f>
        <v>الدائرة الأولى جنائي</v>
      </c>
      <c r="W5" s="17" t="s">
        <v>62</v>
      </c>
      <c r="X5" s="17" t="s">
        <v>543</v>
      </c>
      <c r="Y5" s="17" t="s">
        <v>137</v>
      </c>
      <c r="Z5" s="18" t="s">
        <v>544</v>
      </c>
      <c r="AB5" s="17" t="s">
        <v>30</v>
      </c>
      <c r="AC5" s="18" t="s">
        <v>31</v>
      </c>
      <c r="AE5" s="17" t="s">
        <v>60</v>
      </c>
      <c r="AG5" s="17" t="s">
        <v>60</v>
      </c>
      <c r="AI5" s="18" t="s">
        <v>70</v>
      </c>
      <c r="AJ5" s="17" t="s">
        <v>174</v>
      </c>
      <c r="AK5" s="17" t="s">
        <v>131</v>
      </c>
      <c r="AM5" s="17" t="s">
        <v>137</v>
      </c>
    </row>
    <row r="6" spans="1:39" x14ac:dyDescent="0.3">
      <c r="A6" s="17">
        <v>50</v>
      </c>
      <c r="B6" s="18" t="s">
        <v>141</v>
      </c>
      <c r="C6" s="18" t="s">
        <v>31</v>
      </c>
      <c r="D6" s="17" t="s">
        <v>62</v>
      </c>
      <c r="E6" s="17" t="s">
        <v>140</v>
      </c>
      <c r="F6" s="18" t="str">
        <f t="shared" si="0"/>
        <v>الدائرة الأولى مدني كلي</v>
      </c>
      <c r="G6" s="17">
        <v>57</v>
      </c>
      <c r="H6" s="17" t="s">
        <v>60</v>
      </c>
      <c r="I6" s="17">
        <v>200314</v>
      </c>
      <c r="J6" s="18" t="s">
        <v>175</v>
      </c>
      <c r="K6" s="18" t="s">
        <v>102</v>
      </c>
      <c r="L6" s="17" t="s">
        <v>131</v>
      </c>
      <c r="M6" s="17">
        <v>21</v>
      </c>
      <c r="N6" s="18" t="str">
        <f t="shared" si="1"/>
        <v>محكمة بني سويف الابتدائية</v>
      </c>
      <c r="O6" s="18" t="s">
        <v>176</v>
      </c>
      <c r="P6" s="17" t="s">
        <v>177</v>
      </c>
      <c r="Q6" s="17">
        <v>230150</v>
      </c>
      <c r="R6" s="18" t="s">
        <v>545</v>
      </c>
      <c r="S6" s="17" t="s">
        <v>546</v>
      </c>
      <c r="T6" s="17" t="s">
        <v>542</v>
      </c>
      <c r="U6" s="17">
        <v>49</v>
      </c>
      <c r="V6" s="18" t="str">
        <f t="shared" si="2"/>
        <v>الدائرة الأولى جنائي</v>
      </c>
      <c r="W6" s="17" t="s">
        <v>62</v>
      </c>
      <c r="X6" s="17" t="s">
        <v>547</v>
      </c>
      <c r="Y6" s="17" t="s">
        <v>137</v>
      </c>
      <c r="Z6" s="18" t="s">
        <v>544</v>
      </c>
      <c r="AB6" s="17" t="s">
        <v>32</v>
      </c>
      <c r="AC6" s="18" t="s">
        <v>33</v>
      </c>
      <c r="AE6" s="17" t="s">
        <v>61</v>
      </c>
      <c r="AG6" s="17" t="s">
        <v>61</v>
      </c>
      <c r="AI6" s="18" t="s">
        <v>71</v>
      </c>
      <c r="AJ6" s="17" t="s">
        <v>174</v>
      </c>
      <c r="AK6" s="17" t="s">
        <v>132</v>
      </c>
      <c r="AM6" s="17" t="s">
        <v>138</v>
      </c>
    </row>
    <row r="7" spans="1:39" x14ac:dyDescent="0.3">
      <c r="A7" s="17">
        <v>51</v>
      </c>
      <c r="B7" s="18" t="s">
        <v>142</v>
      </c>
      <c r="C7" s="18" t="s">
        <v>31</v>
      </c>
      <c r="D7" s="17" t="s">
        <v>62</v>
      </c>
      <c r="E7" s="17" t="s">
        <v>140</v>
      </c>
      <c r="F7" s="18" t="str">
        <f t="shared" si="0"/>
        <v>الدائرة الأولى مدني كلي</v>
      </c>
      <c r="G7" s="17">
        <v>57</v>
      </c>
      <c r="H7" s="17" t="s">
        <v>60</v>
      </c>
      <c r="I7" s="17">
        <v>200315</v>
      </c>
      <c r="J7" s="18" t="s">
        <v>178</v>
      </c>
      <c r="K7" s="18" t="s">
        <v>60</v>
      </c>
      <c r="L7" s="17" t="s">
        <v>132</v>
      </c>
      <c r="M7" s="17">
        <v>36</v>
      </c>
      <c r="N7" s="18" t="str">
        <f t="shared" si="1"/>
        <v>محكمة بني سويف الابتدائية</v>
      </c>
      <c r="O7" s="18" t="s">
        <v>179</v>
      </c>
      <c r="P7" s="17" t="s">
        <v>180</v>
      </c>
      <c r="Q7" s="17">
        <v>31</v>
      </c>
      <c r="R7" s="18" t="s">
        <v>548</v>
      </c>
      <c r="S7" s="17" t="s">
        <v>549</v>
      </c>
      <c r="T7" s="17" t="s">
        <v>542</v>
      </c>
      <c r="U7" s="17">
        <v>49</v>
      </c>
      <c r="V7" s="18" t="str">
        <f t="shared" si="2"/>
        <v>الدائرة الأولى جنائي</v>
      </c>
      <c r="W7" s="17" t="s">
        <v>62</v>
      </c>
      <c r="X7" s="17" t="s">
        <v>550</v>
      </c>
      <c r="Y7" s="17" t="s">
        <v>137</v>
      </c>
      <c r="Z7" s="18" t="s">
        <v>544</v>
      </c>
      <c r="AB7" s="17" t="s">
        <v>34</v>
      </c>
      <c r="AC7" s="18" t="s">
        <v>35</v>
      </c>
      <c r="AE7" s="17" t="s">
        <v>62</v>
      </c>
      <c r="AG7" s="17" t="s">
        <v>63</v>
      </c>
      <c r="AI7" s="18" t="s">
        <v>72</v>
      </c>
      <c r="AJ7" s="17" t="s">
        <v>174</v>
      </c>
      <c r="AK7" s="17" t="s">
        <v>133</v>
      </c>
    </row>
    <row r="8" spans="1:39" x14ac:dyDescent="0.3">
      <c r="A8" s="17">
        <v>52</v>
      </c>
      <c r="B8" s="18" t="s">
        <v>143</v>
      </c>
      <c r="C8" s="18" t="s">
        <v>31</v>
      </c>
      <c r="D8" s="17" t="s">
        <v>62</v>
      </c>
      <c r="E8" s="17" t="s">
        <v>140</v>
      </c>
      <c r="F8" s="18" t="str">
        <f t="shared" si="0"/>
        <v>الدائرة الأولى مدني كلي</v>
      </c>
      <c r="G8" s="17">
        <v>57</v>
      </c>
      <c r="H8" s="17" t="s">
        <v>60</v>
      </c>
      <c r="I8" s="17">
        <v>200316</v>
      </c>
      <c r="J8" s="18" t="s">
        <v>181</v>
      </c>
      <c r="K8" s="18" t="s">
        <v>60</v>
      </c>
      <c r="L8" s="17" t="s">
        <v>132</v>
      </c>
      <c r="M8" s="17">
        <v>51</v>
      </c>
      <c r="N8" s="18" t="str">
        <f t="shared" si="1"/>
        <v>محكمة بني سويف الابتدائية</v>
      </c>
      <c r="O8" s="18" t="s">
        <v>172</v>
      </c>
      <c r="P8" s="17" t="s">
        <v>173</v>
      </c>
      <c r="Q8" s="17">
        <v>59</v>
      </c>
      <c r="R8" s="18" t="s">
        <v>551</v>
      </c>
      <c r="S8" s="17" t="s">
        <v>541</v>
      </c>
      <c r="T8" s="17" t="s">
        <v>542</v>
      </c>
      <c r="U8" s="17">
        <v>50</v>
      </c>
      <c r="V8" s="18" t="str">
        <f t="shared" si="2"/>
        <v>الدائرة الثانية جنائي</v>
      </c>
      <c r="W8" s="17" t="s">
        <v>62</v>
      </c>
      <c r="X8" s="17" t="s">
        <v>543</v>
      </c>
      <c r="Y8" s="17" t="s">
        <v>137</v>
      </c>
      <c r="Z8" s="18" t="s">
        <v>544</v>
      </c>
      <c r="AB8" s="17" t="s">
        <v>36</v>
      </c>
      <c r="AC8" s="18" t="s">
        <v>37</v>
      </c>
      <c r="AE8" s="17" t="s">
        <v>63</v>
      </c>
      <c r="AG8" s="17" t="s">
        <v>62</v>
      </c>
      <c r="AI8" s="18" t="s">
        <v>73</v>
      </c>
      <c r="AJ8" s="17" t="s">
        <v>174</v>
      </c>
      <c r="AK8" s="17" t="s">
        <v>134</v>
      </c>
    </row>
    <row r="9" spans="1:39" x14ac:dyDescent="0.3">
      <c r="A9" s="17">
        <v>53</v>
      </c>
      <c r="B9" s="18" t="s">
        <v>144</v>
      </c>
      <c r="C9" s="18" t="s">
        <v>31</v>
      </c>
      <c r="D9" s="17" t="s">
        <v>62</v>
      </c>
      <c r="E9" s="17" t="s">
        <v>140</v>
      </c>
      <c r="F9" s="18" t="str">
        <f t="shared" si="0"/>
        <v>الدائرة الأولى مدني كلي</v>
      </c>
      <c r="G9" s="17">
        <v>57</v>
      </c>
      <c r="H9" s="17" t="s">
        <v>60</v>
      </c>
      <c r="I9" s="17">
        <v>200317</v>
      </c>
      <c r="J9" s="18" t="s">
        <v>182</v>
      </c>
      <c r="K9" s="18" t="s">
        <v>60</v>
      </c>
      <c r="L9" s="17" t="s">
        <v>133</v>
      </c>
      <c r="M9" s="17">
        <v>66</v>
      </c>
      <c r="N9" s="18" t="str">
        <f t="shared" si="1"/>
        <v>محكمة بني سويف الابتدائية</v>
      </c>
      <c r="O9" s="18" t="s">
        <v>176</v>
      </c>
      <c r="P9" s="17" t="s">
        <v>177</v>
      </c>
      <c r="Q9" s="17">
        <v>230151</v>
      </c>
      <c r="R9" s="18" t="s">
        <v>552</v>
      </c>
      <c r="S9" s="17" t="s">
        <v>546</v>
      </c>
      <c r="T9" s="17" t="s">
        <v>542</v>
      </c>
      <c r="U9" s="17">
        <v>50</v>
      </c>
      <c r="V9" s="18" t="str">
        <f t="shared" si="2"/>
        <v>الدائرة الثانية جنائي</v>
      </c>
      <c r="W9" s="17" t="s">
        <v>62</v>
      </c>
      <c r="X9" s="17" t="s">
        <v>547</v>
      </c>
      <c r="Y9" s="17" t="s">
        <v>137</v>
      </c>
      <c r="Z9" s="18" t="s">
        <v>544</v>
      </c>
      <c r="AB9" s="17" t="s">
        <v>38</v>
      </c>
      <c r="AC9" s="18" t="s">
        <v>39</v>
      </c>
      <c r="AE9" s="17" t="s">
        <v>64</v>
      </c>
      <c r="AG9" s="17" t="s">
        <v>65</v>
      </c>
      <c r="AI9" s="18" t="s">
        <v>74</v>
      </c>
      <c r="AJ9" s="17" t="s">
        <v>174</v>
      </c>
      <c r="AK9" s="17" t="s">
        <v>135</v>
      </c>
    </row>
    <row r="10" spans="1:39" x14ac:dyDescent="0.3">
      <c r="A10" s="17">
        <v>54</v>
      </c>
      <c r="B10" s="18" t="s">
        <v>145</v>
      </c>
      <c r="C10" s="18" t="s">
        <v>31</v>
      </c>
      <c r="D10" s="17" t="s">
        <v>62</v>
      </c>
      <c r="E10" s="17" t="s">
        <v>140</v>
      </c>
      <c r="F10" s="18" t="str">
        <f t="shared" si="0"/>
        <v>الدائرة الأولى مدني كلي</v>
      </c>
      <c r="G10" s="17">
        <v>57</v>
      </c>
      <c r="H10" s="17" t="s">
        <v>60</v>
      </c>
      <c r="I10" s="17">
        <v>200318</v>
      </c>
      <c r="J10" s="18" t="s">
        <v>183</v>
      </c>
      <c r="K10" s="18" t="s">
        <v>106</v>
      </c>
      <c r="L10" s="17" t="s">
        <v>133</v>
      </c>
      <c r="M10" s="17">
        <v>81</v>
      </c>
      <c r="N10" s="18" t="str">
        <f t="shared" si="1"/>
        <v>محكمة بني سويف الابتدائية</v>
      </c>
      <c r="O10" s="18" t="s">
        <v>179</v>
      </c>
      <c r="P10" s="17" t="s">
        <v>180</v>
      </c>
      <c r="Q10" s="17">
        <v>230152</v>
      </c>
      <c r="R10" s="18" t="s">
        <v>553</v>
      </c>
      <c r="S10" s="17" t="s">
        <v>549</v>
      </c>
      <c r="T10" s="17" t="s">
        <v>542</v>
      </c>
      <c r="U10" s="17">
        <v>50</v>
      </c>
      <c r="V10" s="18" t="str">
        <f t="shared" si="2"/>
        <v>الدائرة الثانية جنائي</v>
      </c>
      <c r="W10" s="17" t="s">
        <v>62</v>
      </c>
      <c r="X10" s="17" t="s">
        <v>550</v>
      </c>
      <c r="Y10" s="17" t="s">
        <v>137</v>
      </c>
      <c r="Z10" s="18" t="s">
        <v>544</v>
      </c>
      <c r="AB10" s="17" t="s">
        <v>40</v>
      </c>
      <c r="AC10" s="18" t="s">
        <v>41</v>
      </c>
      <c r="AG10" s="17" t="s">
        <v>66</v>
      </c>
      <c r="AI10" s="18" t="s">
        <v>75</v>
      </c>
      <c r="AJ10" s="17" t="s">
        <v>174</v>
      </c>
      <c r="AK10" s="17" t="s">
        <v>136</v>
      </c>
    </row>
    <row r="11" spans="1:39" x14ac:dyDescent="0.3">
      <c r="A11" s="17">
        <v>55</v>
      </c>
      <c r="B11" s="18" t="s">
        <v>146</v>
      </c>
      <c r="C11" s="18" t="s">
        <v>31</v>
      </c>
      <c r="D11" s="17" t="s">
        <v>62</v>
      </c>
      <c r="E11" s="17" t="s">
        <v>140</v>
      </c>
      <c r="F11" s="18" t="str">
        <f t="shared" si="0"/>
        <v>الدائرة الثانية مدني كلي</v>
      </c>
      <c r="G11" s="17">
        <v>58</v>
      </c>
      <c r="H11" s="17" t="s">
        <v>60</v>
      </c>
      <c r="I11" s="17">
        <v>200319</v>
      </c>
      <c r="J11" s="18" t="s">
        <v>184</v>
      </c>
      <c r="K11" s="18" t="s">
        <v>107</v>
      </c>
      <c r="L11" s="17" t="s">
        <v>131</v>
      </c>
      <c r="M11" s="17">
        <v>96</v>
      </c>
      <c r="N11" s="18" t="str">
        <f t="shared" si="1"/>
        <v>محكمة بني سويف الابتدائية</v>
      </c>
      <c r="O11" s="18" t="s">
        <v>172</v>
      </c>
      <c r="P11" s="17" t="s">
        <v>173</v>
      </c>
      <c r="Q11" s="17">
        <v>230153</v>
      </c>
      <c r="R11" s="18" t="s">
        <v>554</v>
      </c>
      <c r="S11" s="17" t="s">
        <v>555</v>
      </c>
      <c r="T11" s="17" t="s">
        <v>542</v>
      </c>
      <c r="U11" s="17">
        <v>50</v>
      </c>
      <c r="V11" s="18" t="str">
        <f t="shared" si="2"/>
        <v>الدائرة الثانية جنائي</v>
      </c>
      <c r="W11" s="17" t="s">
        <v>62</v>
      </c>
      <c r="X11" s="17" t="s">
        <v>556</v>
      </c>
      <c r="Y11" s="17" t="s">
        <v>137</v>
      </c>
      <c r="Z11" s="18" t="s">
        <v>544</v>
      </c>
      <c r="AB11" s="17" t="s">
        <v>42</v>
      </c>
      <c r="AC11" s="18" t="s">
        <v>43</v>
      </c>
      <c r="AG11" s="17" t="s">
        <v>67</v>
      </c>
      <c r="AI11" s="18" t="s">
        <v>76</v>
      </c>
      <c r="AJ11" s="17" t="s">
        <v>174</v>
      </c>
    </row>
    <row r="12" spans="1:39" x14ac:dyDescent="0.3">
      <c r="A12" s="17">
        <v>56</v>
      </c>
      <c r="B12" s="18" t="s">
        <v>147</v>
      </c>
      <c r="C12" s="18" t="s">
        <v>31</v>
      </c>
      <c r="D12" s="17" t="s">
        <v>62</v>
      </c>
      <c r="E12" s="17" t="s">
        <v>140</v>
      </c>
      <c r="F12" s="18" t="str">
        <f t="shared" si="0"/>
        <v>الدائرة الثانية مدني كلي</v>
      </c>
      <c r="G12" s="17">
        <v>58</v>
      </c>
      <c r="H12" s="17" t="s">
        <v>60</v>
      </c>
      <c r="I12" s="17">
        <v>200320</v>
      </c>
      <c r="J12" s="18" t="s">
        <v>185</v>
      </c>
      <c r="K12" s="18" t="s">
        <v>105</v>
      </c>
      <c r="L12" s="17" t="s">
        <v>131</v>
      </c>
      <c r="M12" s="17">
        <v>111</v>
      </c>
      <c r="N12" s="18" t="str">
        <f t="shared" si="1"/>
        <v>محكمة بني سويف الابتدائية</v>
      </c>
      <c r="O12" s="18" t="s">
        <v>176</v>
      </c>
      <c r="P12" s="17" t="s">
        <v>177</v>
      </c>
      <c r="Q12" s="17">
        <v>230154</v>
      </c>
      <c r="R12" s="18" t="s">
        <v>557</v>
      </c>
      <c r="S12" s="17" t="s">
        <v>541</v>
      </c>
      <c r="T12" s="17" t="s">
        <v>542</v>
      </c>
      <c r="U12" s="17">
        <v>51</v>
      </c>
      <c r="V12" s="18" t="str">
        <f t="shared" si="2"/>
        <v>الدائرة الثالثة جنائي</v>
      </c>
      <c r="W12" s="17" t="s">
        <v>62</v>
      </c>
      <c r="X12" s="17" t="s">
        <v>543</v>
      </c>
      <c r="Y12" s="17" t="s">
        <v>137</v>
      </c>
      <c r="Z12" s="18" t="s">
        <v>544</v>
      </c>
      <c r="AB12" s="17" t="s">
        <v>44</v>
      </c>
      <c r="AC12" s="18" t="s">
        <v>45</v>
      </c>
      <c r="AG12" s="17" t="s">
        <v>68</v>
      </c>
      <c r="AI12" s="18" t="s">
        <v>77</v>
      </c>
      <c r="AJ12" s="17" t="s">
        <v>174</v>
      </c>
    </row>
    <row r="13" spans="1:39" x14ac:dyDescent="0.3">
      <c r="A13" s="17">
        <v>57</v>
      </c>
      <c r="B13" s="18" t="s">
        <v>148</v>
      </c>
      <c r="C13" s="18" t="s">
        <v>31</v>
      </c>
      <c r="D13" s="17" t="s">
        <v>60</v>
      </c>
      <c r="E13" s="17" t="s">
        <v>140</v>
      </c>
      <c r="F13" s="18" t="str">
        <f t="shared" si="0"/>
        <v>الدائرة الثانية مدني كلي</v>
      </c>
      <c r="G13" s="17">
        <v>58</v>
      </c>
      <c r="H13" s="17" t="s">
        <v>60</v>
      </c>
      <c r="I13" s="17">
        <v>200321</v>
      </c>
      <c r="J13" s="18" t="s">
        <v>178</v>
      </c>
      <c r="K13" s="18" t="s">
        <v>60</v>
      </c>
      <c r="L13" s="17" t="s">
        <v>132</v>
      </c>
      <c r="M13" s="17">
        <v>126</v>
      </c>
      <c r="N13" s="18" t="str">
        <f t="shared" si="1"/>
        <v>محكمة بني سويف الابتدائية</v>
      </c>
      <c r="O13" s="18" t="s">
        <v>179</v>
      </c>
      <c r="P13" s="17" t="s">
        <v>180</v>
      </c>
      <c r="Q13" s="17">
        <v>230155</v>
      </c>
      <c r="R13" s="18" t="s">
        <v>558</v>
      </c>
      <c r="S13" s="17" t="s">
        <v>546</v>
      </c>
      <c r="T13" s="17" t="s">
        <v>542</v>
      </c>
      <c r="U13" s="17">
        <v>51</v>
      </c>
      <c r="V13" s="18" t="str">
        <f t="shared" si="2"/>
        <v>الدائرة الثالثة جنائي</v>
      </c>
      <c r="W13" s="17" t="s">
        <v>62</v>
      </c>
      <c r="X13" s="17" t="s">
        <v>547</v>
      </c>
      <c r="Y13" s="17" t="s">
        <v>137</v>
      </c>
      <c r="Z13" s="18" t="s">
        <v>544</v>
      </c>
      <c r="AB13" s="17" t="s">
        <v>46</v>
      </c>
      <c r="AC13" s="18" t="s">
        <v>47</v>
      </c>
      <c r="AG13" s="17" t="s">
        <v>69</v>
      </c>
      <c r="AI13" s="18" t="s">
        <v>78</v>
      </c>
      <c r="AJ13" s="17" t="s">
        <v>174</v>
      </c>
    </row>
    <row r="14" spans="1:39" x14ac:dyDescent="0.3">
      <c r="A14" s="17">
        <v>58</v>
      </c>
      <c r="B14" s="18" t="s">
        <v>149</v>
      </c>
      <c r="C14" s="18" t="s">
        <v>31</v>
      </c>
      <c r="D14" s="17" t="s">
        <v>60</v>
      </c>
      <c r="E14" s="17" t="s">
        <v>140</v>
      </c>
      <c r="F14" s="18" t="str">
        <f t="shared" si="0"/>
        <v>الدائرة الثانية مدني كلي</v>
      </c>
      <c r="G14" s="17">
        <v>58</v>
      </c>
      <c r="H14" s="17" t="s">
        <v>60</v>
      </c>
      <c r="I14" s="17">
        <v>200322</v>
      </c>
      <c r="J14" s="18" t="s">
        <v>186</v>
      </c>
      <c r="K14" s="18" t="s">
        <v>106</v>
      </c>
      <c r="L14" s="17" t="s">
        <v>132</v>
      </c>
      <c r="M14" s="17">
        <v>141</v>
      </c>
      <c r="N14" s="18" t="str">
        <f t="shared" si="1"/>
        <v>محكمة بني سويف الابتدائية</v>
      </c>
      <c r="O14" s="18" t="s">
        <v>172</v>
      </c>
      <c r="P14" s="17" t="s">
        <v>173</v>
      </c>
      <c r="Q14" s="17">
        <v>230156</v>
      </c>
      <c r="R14" s="18" t="s">
        <v>559</v>
      </c>
      <c r="S14" s="17" t="s">
        <v>549</v>
      </c>
      <c r="T14" s="17" t="s">
        <v>542</v>
      </c>
      <c r="U14" s="17">
        <v>51</v>
      </c>
      <c r="V14" s="18" t="str">
        <f t="shared" si="2"/>
        <v>الدائرة الثالثة جنائي</v>
      </c>
      <c r="W14" s="17" t="s">
        <v>62</v>
      </c>
      <c r="X14" s="17" t="s">
        <v>550</v>
      </c>
      <c r="Y14" s="17" t="s">
        <v>137</v>
      </c>
      <c r="Z14" s="18" t="s">
        <v>544</v>
      </c>
      <c r="AB14" s="17" t="s">
        <v>48</v>
      </c>
      <c r="AC14" s="18" t="s">
        <v>49</v>
      </c>
      <c r="AI14" s="18" t="s">
        <v>79</v>
      </c>
      <c r="AJ14" s="17" t="s">
        <v>174</v>
      </c>
    </row>
    <row r="15" spans="1:39" x14ac:dyDescent="0.3">
      <c r="A15" s="17">
        <v>59</v>
      </c>
      <c r="B15" s="18" t="s">
        <v>150</v>
      </c>
      <c r="C15" s="18" t="s">
        <v>31</v>
      </c>
      <c r="D15" s="17" t="s">
        <v>60</v>
      </c>
      <c r="E15" s="17" t="s">
        <v>140</v>
      </c>
      <c r="F15" s="18" t="str">
        <f t="shared" si="0"/>
        <v>الدائرة الثانية مدني كلي</v>
      </c>
      <c r="G15" s="17">
        <v>58</v>
      </c>
      <c r="H15" s="17" t="s">
        <v>60</v>
      </c>
      <c r="I15" s="17">
        <v>200323</v>
      </c>
      <c r="J15" s="18" t="s">
        <v>182</v>
      </c>
      <c r="K15" s="18" t="s">
        <v>60</v>
      </c>
      <c r="L15" s="17" t="s">
        <v>133</v>
      </c>
      <c r="M15" s="17">
        <v>156</v>
      </c>
      <c r="N15" s="18" t="str">
        <f t="shared" si="1"/>
        <v>محكمة بني سويف الابتدائية</v>
      </c>
      <c r="O15" s="18" t="s">
        <v>176</v>
      </c>
      <c r="P15" s="17" t="s">
        <v>177</v>
      </c>
      <c r="Q15" s="17">
        <v>67</v>
      </c>
      <c r="R15" s="18" t="s">
        <v>560</v>
      </c>
      <c r="S15" s="17" t="s">
        <v>541</v>
      </c>
      <c r="T15" s="17" t="s">
        <v>542</v>
      </c>
      <c r="U15" s="17">
        <v>52</v>
      </c>
      <c r="V15" s="18" t="str">
        <f t="shared" si="2"/>
        <v>الدائرة الرابعة جنائي</v>
      </c>
      <c r="W15" s="17" t="s">
        <v>62</v>
      </c>
      <c r="X15" s="17" t="s">
        <v>543</v>
      </c>
      <c r="Y15" s="17" t="s">
        <v>137</v>
      </c>
      <c r="Z15" s="18" t="s">
        <v>544</v>
      </c>
      <c r="AB15" s="17" t="s">
        <v>50</v>
      </c>
      <c r="AC15" s="18" t="s">
        <v>51</v>
      </c>
      <c r="AI15" s="18" t="s">
        <v>80</v>
      </c>
      <c r="AJ15" s="17" t="s">
        <v>174</v>
      </c>
    </row>
    <row r="16" spans="1:39" x14ac:dyDescent="0.3">
      <c r="A16" s="17">
        <v>60</v>
      </c>
      <c r="B16" s="18" t="s">
        <v>151</v>
      </c>
      <c r="C16" s="18" t="s">
        <v>31</v>
      </c>
      <c r="D16" s="17" t="s">
        <v>60</v>
      </c>
      <c r="E16" s="17" t="s">
        <v>140</v>
      </c>
      <c r="F16" s="18" t="str">
        <f t="shared" si="0"/>
        <v>الدائرة الثالثة مدني كلي</v>
      </c>
      <c r="G16" s="17">
        <v>59</v>
      </c>
      <c r="H16" s="17" t="s">
        <v>60</v>
      </c>
      <c r="I16" s="17">
        <v>200324</v>
      </c>
      <c r="J16" s="18" t="s">
        <v>187</v>
      </c>
      <c r="K16" s="18" t="s">
        <v>60</v>
      </c>
      <c r="L16" s="17" t="s">
        <v>134</v>
      </c>
      <c r="M16" s="17">
        <v>171</v>
      </c>
      <c r="N16" s="18" t="str">
        <f t="shared" si="1"/>
        <v>محكمة بني سويف الابتدائية</v>
      </c>
      <c r="O16" s="18" t="s">
        <v>179</v>
      </c>
      <c r="P16" s="17" t="s">
        <v>180</v>
      </c>
      <c r="Q16" s="17">
        <v>230157</v>
      </c>
      <c r="R16" s="18" t="s">
        <v>561</v>
      </c>
      <c r="S16" s="17" t="s">
        <v>546</v>
      </c>
      <c r="T16" s="17" t="s">
        <v>542</v>
      </c>
      <c r="U16" s="17">
        <v>52</v>
      </c>
      <c r="V16" s="18" t="str">
        <f t="shared" si="2"/>
        <v>الدائرة الرابعة جنائي</v>
      </c>
      <c r="W16" s="17" t="s">
        <v>62</v>
      </c>
      <c r="X16" s="17" t="s">
        <v>547</v>
      </c>
      <c r="Y16" s="17" t="s">
        <v>137</v>
      </c>
      <c r="Z16" s="18" t="s">
        <v>544</v>
      </c>
      <c r="AB16" s="17" t="s">
        <v>52</v>
      </c>
      <c r="AC16" s="18" t="s">
        <v>53</v>
      </c>
      <c r="AI16" s="18" t="s">
        <v>81</v>
      </c>
      <c r="AJ16" s="17" t="s">
        <v>174</v>
      </c>
    </row>
    <row r="17" spans="1:36" x14ac:dyDescent="0.3">
      <c r="A17" s="17">
        <v>61</v>
      </c>
      <c r="B17" s="18" t="s">
        <v>152</v>
      </c>
      <c r="C17" s="18" t="s">
        <v>31</v>
      </c>
      <c r="D17" s="17" t="s">
        <v>60</v>
      </c>
      <c r="E17" s="17" t="s">
        <v>140</v>
      </c>
      <c r="F17" s="18" t="str">
        <f t="shared" si="0"/>
        <v>الدائرة الثالثة مدني كلي</v>
      </c>
      <c r="G17" s="17">
        <v>59</v>
      </c>
      <c r="H17" s="17" t="s">
        <v>60</v>
      </c>
      <c r="I17" s="17">
        <v>200325</v>
      </c>
      <c r="J17" s="18" t="s">
        <v>188</v>
      </c>
      <c r="K17" s="18" t="s">
        <v>106</v>
      </c>
      <c r="L17" s="17" t="s">
        <v>134</v>
      </c>
      <c r="M17" s="17">
        <v>186</v>
      </c>
      <c r="N17" s="18" t="str">
        <f t="shared" si="1"/>
        <v>محكمة بني سويف الابتدائية</v>
      </c>
      <c r="O17" s="18" t="s">
        <v>172</v>
      </c>
      <c r="P17" s="17" t="s">
        <v>173</v>
      </c>
      <c r="Q17" s="17">
        <v>230158</v>
      </c>
      <c r="R17" s="18" t="s">
        <v>562</v>
      </c>
      <c r="S17" s="17" t="s">
        <v>549</v>
      </c>
      <c r="T17" s="17" t="s">
        <v>542</v>
      </c>
      <c r="U17" s="17">
        <v>52</v>
      </c>
      <c r="V17" s="18" t="str">
        <f t="shared" si="2"/>
        <v>الدائرة الرابعة جنائي</v>
      </c>
      <c r="W17" s="17" t="s">
        <v>62</v>
      </c>
      <c r="X17" s="17" t="s">
        <v>550</v>
      </c>
      <c r="Y17" s="17" t="s">
        <v>137</v>
      </c>
      <c r="Z17" s="18" t="s">
        <v>544</v>
      </c>
      <c r="AB17" s="17" t="s">
        <v>54</v>
      </c>
      <c r="AC17" s="18" t="s">
        <v>55</v>
      </c>
      <c r="AI17" s="18" t="s">
        <v>82</v>
      </c>
      <c r="AJ17" s="17" t="s">
        <v>174</v>
      </c>
    </row>
    <row r="18" spans="1:36" x14ac:dyDescent="0.3">
      <c r="A18" s="17">
        <v>62</v>
      </c>
      <c r="B18" s="18" t="s">
        <v>153</v>
      </c>
      <c r="C18" s="18" t="s">
        <v>31</v>
      </c>
      <c r="D18" s="17" t="s">
        <v>60</v>
      </c>
      <c r="E18" s="17" t="s">
        <v>140</v>
      </c>
      <c r="F18" s="18" t="str">
        <f t="shared" si="0"/>
        <v>الدائرة الثالثة مدني كلي</v>
      </c>
      <c r="G18" s="17">
        <v>59</v>
      </c>
      <c r="H18" s="17" t="s">
        <v>60</v>
      </c>
      <c r="I18" s="17">
        <v>200326</v>
      </c>
      <c r="J18" s="18" t="s">
        <v>189</v>
      </c>
      <c r="K18" s="18" t="s">
        <v>60</v>
      </c>
      <c r="L18" s="17" t="s">
        <v>135</v>
      </c>
      <c r="M18" s="17">
        <v>201</v>
      </c>
      <c r="N18" s="18" t="str">
        <f t="shared" si="1"/>
        <v>محكمة بني سويف الابتدائية</v>
      </c>
      <c r="O18" s="18" t="s">
        <v>176</v>
      </c>
      <c r="P18" s="17" t="s">
        <v>177</v>
      </c>
      <c r="Q18" s="17">
        <v>230159</v>
      </c>
      <c r="R18" s="18" t="s">
        <v>563</v>
      </c>
      <c r="S18" s="17" t="s">
        <v>541</v>
      </c>
      <c r="T18" s="17" t="s">
        <v>542</v>
      </c>
      <c r="U18" s="17">
        <v>53</v>
      </c>
      <c r="V18" s="18" t="str">
        <f t="shared" si="2"/>
        <v>الدائرة الخامسة جنائي</v>
      </c>
      <c r="W18" s="17" t="s">
        <v>62</v>
      </c>
      <c r="X18" s="17" t="s">
        <v>543</v>
      </c>
      <c r="Y18" s="17" t="s">
        <v>137</v>
      </c>
      <c r="Z18" s="18" t="s">
        <v>544</v>
      </c>
      <c r="AB18" s="17" t="s">
        <v>56</v>
      </c>
      <c r="AC18" s="18" t="s">
        <v>57</v>
      </c>
      <c r="AI18" s="18" t="s">
        <v>83</v>
      </c>
      <c r="AJ18" s="17" t="s">
        <v>174</v>
      </c>
    </row>
    <row r="19" spans="1:36" x14ac:dyDescent="0.3">
      <c r="A19" s="17">
        <v>63</v>
      </c>
      <c r="B19" s="18" t="s">
        <v>154</v>
      </c>
      <c r="C19" s="18" t="s">
        <v>31</v>
      </c>
      <c r="D19" s="17" t="s">
        <v>60</v>
      </c>
      <c r="E19" s="17" t="s">
        <v>140</v>
      </c>
      <c r="F19" s="18" t="str">
        <f t="shared" si="0"/>
        <v>الدائرة الثالثة مدني كلي</v>
      </c>
      <c r="G19" s="17">
        <v>59</v>
      </c>
      <c r="H19" s="17" t="s">
        <v>60</v>
      </c>
      <c r="I19" s="17">
        <v>200327</v>
      </c>
      <c r="J19" s="18" t="s">
        <v>190</v>
      </c>
      <c r="K19" s="18" t="s">
        <v>103</v>
      </c>
      <c r="L19" s="17" t="s">
        <v>136</v>
      </c>
      <c r="M19" s="17">
        <v>216</v>
      </c>
      <c r="N19" s="18" t="str">
        <f t="shared" si="1"/>
        <v>محكمة بني سويف الابتدائية</v>
      </c>
      <c r="O19" s="18" t="s">
        <v>179</v>
      </c>
      <c r="P19" s="17" t="s">
        <v>180</v>
      </c>
      <c r="Q19" s="17">
        <v>230160</v>
      </c>
      <c r="R19" s="18" t="s">
        <v>564</v>
      </c>
      <c r="S19" s="17" t="s">
        <v>546</v>
      </c>
      <c r="T19" s="17" t="s">
        <v>542</v>
      </c>
      <c r="U19" s="17">
        <v>53</v>
      </c>
      <c r="V19" s="18" t="str">
        <f t="shared" si="2"/>
        <v>الدائرة الخامسة جنائي</v>
      </c>
      <c r="W19" s="17" t="s">
        <v>62</v>
      </c>
      <c r="X19" s="17" t="s">
        <v>547</v>
      </c>
      <c r="Y19" s="17" t="s">
        <v>137</v>
      </c>
      <c r="Z19" s="18" t="s">
        <v>544</v>
      </c>
      <c r="AB19" s="17" t="s">
        <v>58</v>
      </c>
      <c r="AC19" s="18" t="s">
        <v>59</v>
      </c>
      <c r="AI19" s="18" t="s">
        <v>84</v>
      </c>
      <c r="AJ19" s="17" t="s">
        <v>174</v>
      </c>
    </row>
    <row r="20" spans="1:36" x14ac:dyDescent="0.3">
      <c r="A20" s="17">
        <v>64</v>
      </c>
      <c r="B20" s="18" t="s">
        <v>155</v>
      </c>
      <c r="C20" s="18" t="s">
        <v>31</v>
      </c>
      <c r="D20" s="17" t="s">
        <v>60</v>
      </c>
      <c r="E20" s="17" t="s">
        <v>140</v>
      </c>
      <c r="F20" s="18" t="str">
        <f t="shared" si="0"/>
        <v>الدائرة الثالثة مدني كلي</v>
      </c>
      <c r="G20" s="17">
        <v>59</v>
      </c>
      <c r="H20" s="17" t="s">
        <v>60</v>
      </c>
      <c r="I20" s="17">
        <v>200328</v>
      </c>
      <c r="J20" s="18" t="s">
        <v>191</v>
      </c>
      <c r="K20" s="18" t="s">
        <v>102</v>
      </c>
      <c r="L20" s="17" t="s">
        <v>136</v>
      </c>
      <c r="M20" s="17">
        <v>231</v>
      </c>
      <c r="N20" s="18" t="str">
        <f t="shared" si="1"/>
        <v>محكمة بني سويف الابتدائية</v>
      </c>
      <c r="O20" s="18" t="s">
        <v>172</v>
      </c>
      <c r="P20" s="17" t="s">
        <v>173</v>
      </c>
      <c r="Q20" s="17">
        <v>230161</v>
      </c>
      <c r="R20" s="18" t="s">
        <v>565</v>
      </c>
      <c r="S20" s="17" t="s">
        <v>549</v>
      </c>
      <c r="T20" s="17" t="s">
        <v>542</v>
      </c>
      <c r="U20" s="17">
        <v>53</v>
      </c>
      <c r="V20" s="18" t="str">
        <f t="shared" si="2"/>
        <v>الدائرة الخامسة جنائي</v>
      </c>
      <c r="W20" s="17" t="s">
        <v>62</v>
      </c>
      <c r="X20" s="17" t="s">
        <v>550</v>
      </c>
      <c r="Y20" s="17" t="s">
        <v>137</v>
      </c>
      <c r="Z20" s="18" t="s">
        <v>544</v>
      </c>
      <c r="AI20" s="18" t="s">
        <v>85</v>
      </c>
      <c r="AJ20" s="17" t="s">
        <v>174</v>
      </c>
    </row>
    <row r="21" spans="1:36" x14ac:dyDescent="0.3">
      <c r="A21" s="17">
        <v>65</v>
      </c>
      <c r="B21" s="18" t="s">
        <v>156</v>
      </c>
      <c r="C21" s="18" t="s">
        <v>31</v>
      </c>
      <c r="D21" s="17" t="s">
        <v>61</v>
      </c>
      <c r="E21" s="17" t="s">
        <v>140</v>
      </c>
      <c r="F21" s="18" t="str">
        <f t="shared" si="0"/>
        <v>الدائرة الرابعة مدني كلي</v>
      </c>
      <c r="G21" s="17">
        <v>60</v>
      </c>
      <c r="H21" s="17" t="s">
        <v>60</v>
      </c>
      <c r="I21" s="17">
        <v>200329</v>
      </c>
      <c r="J21" s="18" t="s">
        <v>171</v>
      </c>
      <c r="K21" s="18" t="s">
        <v>60</v>
      </c>
      <c r="L21" s="17" t="s">
        <v>131</v>
      </c>
      <c r="M21" s="17">
        <v>246</v>
      </c>
      <c r="N21" s="18" t="str">
        <f t="shared" si="1"/>
        <v>محكمة بني سويف الابتدائية</v>
      </c>
      <c r="O21" s="18" t="s">
        <v>176</v>
      </c>
      <c r="P21" s="17" t="s">
        <v>177</v>
      </c>
      <c r="Q21" s="17">
        <v>79</v>
      </c>
      <c r="R21" s="18" t="s">
        <v>566</v>
      </c>
      <c r="S21" s="17" t="s">
        <v>541</v>
      </c>
      <c r="T21" s="17" t="s">
        <v>542</v>
      </c>
      <c r="U21" s="17">
        <v>54</v>
      </c>
      <c r="V21" s="18" t="str">
        <f t="shared" si="2"/>
        <v>الدائرة السادسة جنائي</v>
      </c>
      <c r="W21" s="17" t="s">
        <v>62</v>
      </c>
      <c r="X21" s="17" t="s">
        <v>543</v>
      </c>
      <c r="Y21" s="17" t="s">
        <v>137</v>
      </c>
      <c r="Z21" s="18" t="s">
        <v>544</v>
      </c>
      <c r="AI21" s="18" t="s">
        <v>86</v>
      </c>
      <c r="AJ21" s="17" t="s">
        <v>174</v>
      </c>
    </row>
    <row r="22" spans="1:36" x14ac:dyDescent="0.3">
      <c r="A22" s="17">
        <v>66</v>
      </c>
      <c r="B22" s="18" t="s">
        <v>157</v>
      </c>
      <c r="C22" s="18" t="s">
        <v>31</v>
      </c>
      <c r="D22" s="17" t="s">
        <v>61</v>
      </c>
      <c r="E22" s="17" t="s">
        <v>140</v>
      </c>
      <c r="F22" s="18" t="str">
        <f t="shared" si="0"/>
        <v>الدائرة الرابعة مدني كلي</v>
      </c>
      <c r="G22" s="17">
        <v>60</v>
      </c>
      <c r="H22" s="17" t="s">
        <v>60</v>
      </c>
      <c r="I22" s="17">
        <v>200330</v>
      </c>
      <c r="J22" s="18" t="s">
        <v>178</v>
      </c>
      <c r="K22" s="18" t="s">
        <v>60</v>
      </c>
      <c r="L22" s="17" t="s">
        <v>132</v>
      </c>
      <c r="M22" s="17">
        <v>261</v>
      </c>
      <c r="N22" s="18" t="str">
        <f t="shared" si="1"/>
        <v>محكمة بني سويف الابتدائية</v>
      </c>
      <c r="O22" s="18" t="s">
        <v>179</v>
      </c>
      <c r="P22" s="17" t="s">
        <v>180</v>
      </c>
      <c r="Q22" s="17">
        <v>20</v>
      </c>
      <c r="R22" s="18" t="s">
        <v>567</v>
      </c>
      <c r="S22" s="17" t="s">
        <v>546</v>
      </c>
      <c r="T22" s="17" t="s">
        <v>542</v>
      </c>
      <c r="U22" s="17">
        <v>54</v>
      </c>
      <c r="V22" s="18" t="str">
        <f t="shared" si="2"/>
        <v>الدائرة السادسة جنائي</v>
      </c>
      <c r="W22" s="17" t="s">
        <v>62</v>
      </c>
      <c r="X22" s="17" t="s">
        <v>547</v>
      </c>
      <c r="Y22" s="17" t="s">
        <v>137</v>
      </c>
      <c r="Z22" s="18" t="s">
        <v>544</v>
      </c>
      <c r="AI22" s="18" t="s">
        <v>87</v>
      </c>
      <c r="AJ22" s="17" t="s">
        <v>174</v>
      </c>
    </row>
    <row r="23" spans="1:36" x14ac:dyDescent="0.3">
      <c r="A23" s="17">
        <v>67</v>
      </c>
      <c r="B23" s="18" t="s">
        <v>158</v>
      </c>
      <c r="C23" s="18" t="s">
        <v>31</v>
      </c>
      <c r="D23" s="17" t="s">
        <v>61</v>
      </c>
      <c r="E23" s="17" t="s">
        <v>140</v>
      </c>
      <c r="F23" s="18" t="str">
        <f t="shared" si="0"/>
        <v>الدائرة الرابعة مدني كلي</v>
      </c>
      <c r="G23" s="17">
        <v>60</v>
      </c>
      <c r="H23" s="17" t="s">
        <v>60</v>
      </c>
      <c r="I23" s="17">
        <v>200331</v>
      </c>
      <c r="J23" s="18" t="s">
        <v>182</v>
      </c>
      <c r="K23" s="18" t="s">
        <v>60</v>
      </c>
      <c r="L23" s="17" t="s">
        <v>133</v>
      </c>
      <c r="M23" s="17">
        <v>276</v>
      </c>
      <c r="N23" s="18" t="str">
        <f t="shared" si="1"/>
        <v>محكمة بني سويف الابتدائية</v>
      </c>
      <c r="O23" s="18" t="s">
        <v>172</v>
      </c>
      <c r="P23" s="17" t="s">
        <v>173</v>
      </c>
      <c r="Q23" s="17">
        <v>230162</v>
      </c>
      <c r="R23" s="18" t="s">
        <v>568</v>
      </c>
      <c r="S23" s="17" t="s">
        <v>549</v>
      </c>
      <c r="T23" s="17" t="s">
        <v>542</v>
      </c>
      <c r="U23" s="17">
        <v>54</v>
      </c>
      <c r="V23" s="18" t="str">
        <f t="shared" si="2"/>
        <v>الدائرة السادسة جنائي</v>
      </c>
      <c r="W23" s="17" t="s">
        <v>62</v>
      </c>
      <c r="X23" s="17" t="s">
        <v>550</v>
      </c>
      <c r="Y23" s="17" t="s">
        <v>137</v>
      </c>
      <c r="Z23" s="18" t="s">
        <v>544</v>
      </c>
      <c r="AI23" s="18" t="s">
        <v>88</v>
      </c>
      <c r="AJ23" s="17" t="s">
        <v>174</v>
      </c>
    </row>
    <row r="24" spans="1:36" x14ac:dyDescent="0.3">
      <c r="A24" s="17">
        <v>68</v>
      </c>
      <c r="B24" s="18" t="s">
        <v>159</v>
      </c>
      <c r="C24" s="18" t="s">
        <v>31</v>
      </c>
      <c r="D24" s="17" t="s">
        <v>61</v>
      </c>
      <c r="E24" s="17" t="s">
        <v>140</v>
      </c>
      <c r="F24" s="18" t="str">
        <f t="shared" si="0"/>
        <v>الدائرة الرابعة مدني كلي</v>
      </c>
      <c r="G24" s="17">
        <v>60</v>
      </c>
      <c r="H24" s="17" t="s">
        <v>60</v>
      </c>
      <c r="I24" s="17">
        <v>200332</v>
      </c>
      <c r="J24" s="18" t="s">
        <v>183</v>
      </c>
      <c r="K24" s="18" t="s">
        <v>106</v>
      </c>
      <c r="L24" s="17" t="s">
        <v>133</v>
      </c>
      <c r="M24" s="17">
        <v>291</v>
      </c>
      <c r="N24" s="18" t="str">
        <f t="shared" si="1"/>
        <v>محكمة بني سويف الابتدائية</v>
      </c>
      <c r="O24" s="18" t="s">
        <v>176</v>
      </c>
      <c r="P24" s="17" t="s">
        <v>177</v>
      </c>
      <c r="Q24" s="17">
        <v>230163</v>
      </c>
      <c r="R24" s="18" t="s">
        <v>569</v>
      </c>
      <c r="S24" s="17" t="s">
        <v>541</v>
      </c>
      <c r="T24" s="17" t="s">
        <v>542</v>
      </c>
      <c r="U24" s="17">
        <v>55</v>
      </c>
      <c r="V24" s="18" t="str">
        <f t="shared" si="2"/>
        <v>الدائرة السابعة جنائي</v>
      </c>
      <c r="W24" s="17" t="s">
        <v>62</v>
      </c>
      <c r="X24" s="17" t="s">
        <v>543</v>
      </c>
      <c r="Y24" s="17" t="s">
        <v>137</v>
      </c>
      <c r="Z24" s="18" t="s">
        <v>544</v>
      </c>
      <c r="AI24" s="18" t="s">
        <v>89</v>
      </c>
      <c r="AJ24" s="17" t="s">
        <v>174</v>
      </c>
    </row>
    <row r="25" spans="1:36" x14ac:dyDescent="0.3">
      <c r="A25" s="17">
        <v>69</v>
      </c>
      <c r="B25" s="18" t="s">
        <v>160</v>
      </c>
      <c r="C25" s="18" t="s">
        <v>31</v>
      </c>
      <c r="D25" s="17" t="s">
        <v>61</v>
      </c>
      <c r="E25" s="17" t="s">
        <v>140</v>
      </c>
      <c r="F25" s="18" t="str">
        <f t="shared" si="0"/>
        <v>الدائرة الخامسة مدني كلي ومستأنف</v>
      </c>
      <c r="G25" s="17">
        <v>61</v>
      </c>
      <c r="H25" s="17" t="s">
        <v>60</v>
      </c>
      <c r="I25" s="17">
        <v>200333</v>
      </c>
      <c r="J25" s="18" t="s">
        <v>192</v>
      </c>
      <c r="K25" s="18" t="s">
        <v>60</v>
      </c>
      <c r="L25" s="17" t="s">
        <v>131</v>
      </c>
      <c r="M25" s="17">
        <v>306</v>
      </c>
      <c r="N25" s="18" t="str">
        <f t="shared" si="1"/>
        <v>محكمة بني سويف الابتدائية</v>
      </c>
      <c r="O25" s="18" t="s">
        <v>193</v>
      </c>
      <c r="P25" s="17" t="s">
        <v>194</v>
      </c>
      <c r="Q25" s="17">
        <v>230164</v>
      </c>
      <c r="R25" s="18" t="s">
        <v>570</v>
      </c>
      <c r="S25" s="17" t="s">
        <v>546</v>
      </c>
      <c r="T25" s="17" t="s">
        <v>542</v>
      </c>
      <c r="U25" s="17">
        <v>55</v>
      </c>
      <c r="V25" s="18" t="str">
        <f t="shared" si="2"/>
        <v>الدائرة السابعة جنائي</v>
      </c>
      <c r="W25" s="17" t="s">
        <v>62</v>
      </c>
      <c r="X25" s="17" t="s">
        <v>547</v>
      </c>
      <c r="Y25" s="17" t="s">
        <v>137</v>
      </c>
      <c r="Z25" s="18" t="s">
        <v>544</v>
      </c>
      <c r="AI25" s="18" t="s">
        <v>90</v>
      </c>
      <c r="AJ25" s="17" t="s">
        <v>174</v>
      </c>
    </row>
    <row r="26" spans="1:36" x14ac:dyDescent="0.3">
      <c r="A26" s="17">
        <v>70</v>
      </c>
      <c r="B26" s="18" t="s">
        <v>161</v>
      </c>
      <c r="C26" s="18" t="s">
        <v>31</v>
      </c>
      <c r="D26" s="17" t="s">
        <v>61</v>
      </c>
      <c r="E26" s="17" t="s">
        <v>140</v>
      </c>
      <c r="F26" s="18" t="str">
        <f t="shared" si="0"/>
        <v>الدائرة الخامسة مدني كلي ومستأنف</v>
      </c>
      <c r="G26" s="17">
        <v>61</v>
      </c>
      <c r="H26" s="17" t="s">
        <v>60</v>
      </c>
      <c r="I26" s="17">
        <v>200334</v>
      </c>
      <c r="J26" s="18" t="s">
        <v>184</v>
      </c>
      <c r="K26" s="18" t="s">
        <v>107</v>
      </c>
      <c r="L26" s="17" t="s">
        <v>131</v>
      </c>
      <c r="M26" s="17">
        <v>321</v>
      </c>
      <c r="N26" s="18" t="str">
        <f t="shared" si="1"/>
        <v>محكمة بني سويف الابتدائية</v>
      </c>
      <c r="O26" s="18" t="s">
        <v>195</v>
      </c>
      <c r="P26" s="17" t="s">
        <v>196</v>
      </c>
      <c r="Q26" s="17">
        <v>230165</v>
      </c>
      <c r="R26" s="18" t="s">
        <v>571</v>
      </c>
      <c r="S26" s="17" t="s">
        <v>549</v>
      </c>
      <c r="T26" s="17" t="s">
        <v>542</v>
      </c>
      <c r="U26" s="17">
        <v>55</v>
      </c>
      <c r="V26" s="18" t="str">
        <f t="shared" si="2"/>
        <v>الدائرة السابعة جنائي</v>
      </c>
      <c r="W26" s="17" t="s">
        <v>62</v>
      </c>
      <c r="X26" s="17" t="s">
        <v>550</v>
      </c>
      <c r="Y26" s="17" t="s">
        <v>137</v>
      </c>
      <c r="Z26" s="18" t="s">
        <v>544</v>
      </c>
      <c r="AI26" s="18" t="s">
        <v>91</v>
      </c>
      <c r="AJ26" s="17" t="s">
        <v>174</v>
      </c>
    </row>
    <row r="27" spans="1:36" x14ac:dyDescent="0.3">
      <c r="A27" s="17">
        <v>71</v>
      </c>
      <c r="B27" s="18" t="s">
        <v>162</v>
      </c>
      <c r="C27" s="18" t="s">
        <v>31</v>
      </c>
      <c r="D27" s="17" t="s">
        <v>61</v>
      </c>
      <c r="E27" s="17" t="s">
        <v>140</v>
      </c>
      <c r="F27" s="18" t="str">
        <f t="shared" si="0"/>
        <v>الدائرة الخامسة مدني كلي ومستأنف</v>
      </c>
      <c r="G27" s="17">
        <v>61</v>
      </c>
      <c r="H27" s="17" t="s">
        <v>60</v>
      </c>
      <c r="I27" s="17">
        <v>200335</v>
      </c>
      <c r="J27" s="18" t="s">
        <v>197</v>
      </c>
      <c r="K27" s="18" t="s">
        <v>60</v>
      </c>
      <c r="L27" s="17" t="s">
        <v>132</v>
      </c>
      <c r="M27" s="17">
        <v>336</v>
      </c>
      <c r="N27" s="18" t="str">
        <f t="shared" si="1"/>
        <v>محكمة بني سويف الابتدائية</v>
      </c>
      <c r="O27" s="18" t="s">
        <v>193</v>
      </c>
      <c r="P27" s="17" t="s">
        <v>194</v>
      </c>
      <c r="Q27" s="17">
        <v>230166</v>
      </c>
      <c r="R27" s="18" t="s">
        <v>572</v>
      </c>
      <c r="S27" s="17" t="s">
        <v>541</v>
      </c>
      <c r="T27" s="17" t="s">
        <v>542</v>
      </c>
      <c r="U27" s="17">
        <v>56</v>
      </c>
      <c r="V27" s="18" t="str">
        <f t="shared" si="2"/>
        <v>الدائرة الثامنة جنائي</v>
      </c>
      <c r="W27" s="17" t="s">
        <v>62</v>
      </c>
      <c r="X27" s="17" t="s">
        <v>543</v>
      </c>
      <c r="Y27" s="17" t="s">
        <v>137</v>
      </c>
      <c r="Z27" s="18" t="s">
        <v>544</v>
      </c>
      <c r="AI27" s="18" t="s">
        <v>92</v>
      </c>
      <c r="AJ27" s="17" t="s">
        <v>174</v>
      </c>
    </row>
    <row r="28" spans="1:36" x14ac:dyDescent="0.3">
      <c r="A28" s="17">
        <v>72</v>
      </c>
      <c r="B28" s="18" t="s">
        <v>163</v>
      </c>
      <c r="C28" s="18" t="s">
        <v>31</v>
      </c>
      <c r="D28" s="17" t="s">
        <v>61</v>
      </c>
      <c r="E28" s="17" t="s">
        <v>140</v>
      </c>
      <c r="F28" s="18" t="str">
        <f t="shared" si="0"/>
        <v>الدائرة الخامسة مدني كلي ومستأنف</v>
      </c>
      <c r="G28" s="17">
        <v>61</v>
      </c>
      <c r="H28" s="17" t="s">
        <v>60</v>
      </c>
      <c r="I28" s="17">
        <v>200336</v>
      </c>
      <c r="J28" s="18" t="s">
        <v>198</v>
      </c>
      <c r="K28" s="18" t="s">
        <v>103</v>
      </c>
      <c r="L28" s="17" t="s">
        <v>132</v>
      </c>
      <c r="M28" s="17">
        <v>351</v>
      </c>
      <c r="N28" s="18" t="str">
        <f t="shared" si="1"/>
        <v>محكمة بني سويف الابتدائية</v>
      </c>
      <c r="O28" s="18" t="s">
        <v>195</v>
      </c>
      <c r="P28" s="17" t="s">
        <v>196</v>
      </c>
      <c r="Q28" s="17">
        <v>230167</v>
      </c>
      <c r="R28" s="18" t="s">
        <v>573</v>
      </c>
      <c r="S28" s="17" t="s">
        <v>546</v>
      </c>
      <c r="T28" s="17" t="s">
        <v>542</v>
      </c>
      <c r="U28" s="17">
        <v>56</v>
      </c>
      <c r="V28" s="18" t="str">
        <f t="shared" si="2"/>
        <v>الدائرة الثامنة جنائي</v>
      </c>
      <c r="W28" s="17" t="s">
        <v>62</v>
      </c>
      <c r="X28" s="17" t="s">
        <v>547</v>
      </c>
      <c r="Y28" s="17" t="s">
        <v>137</v>
      </c>
      <c r="Z28" s="18" t="s">
        <v>544</v>
      </c>
      <c r="AI28" s="18" t="s">
        <v>93</v>
      </c>
      <c r="AJ28" s="17" t="s">
        <v>174</v>
      </c>
    </row>
    <row r="29" spans="1:36" x14ac:dyDescent="0.3">
      <c r="A29" s="17">
        <v>73</v>
      </c>
      <c r="B29" s="18" t="s">
        <v>164</v>
      </c>
      <c r="C29" s="18" t="s">
        <v>31</v>
      </c>
      <c r="D29" s="17" t="s">
        <v>64</v>
      </c>
      <c r="E29" s="17" t="s">
        <v>140</v>
      </c>
      <c r="F29" s="18" t="str">
        <f t="shared" si="0"/>
        <v>الدائرة الخامسة مدني كلي ومستأنف</v>
      </c>
      <c r="G29" s="17">
        <v>61</v>
      </c>
      <c r="H29" s="17" t="s">
        <v>60</v>
      </c>
      <c r="I29" s="17">
        <v>200337</v>
      </c>
      <c r="J29" s="18" t="s">
        <v>199</v>
      </c>
      <c r="K29" s="18" t="s">
        <v>60</v>
      </c>
      <c r="L29" s="17" t="s">
        <v>132</v>
      </c>
      <c r="M29" s="17">
        <v>366</v>
      </c>
      <c r="N29" s="18" t="str">
        <f t="shared" si="1"/>
        <v>محكمة بني سويف الابتدائية</v>
      </c>
      <c r="O29" s="18" t="s">
        <v>193</v>
      </c>
      <c r="P29" s="17" t="s">
        <v>194</v>
      </c>
      <c r="Q29" s="17">
        <v>230168</v>
      </c>
      <c r="R29" s="18" t="s">
        <v>574</v>
      </c>
      <c r="S29" s="17" t="s">
        <v>549</v>
      </c>
      <c r="T29" s="17" t="s">
        <v>542</v>
      </c>
      <c r="U29" s="17">
        <v>56</v>
      </c>
      <c r="V29" s="18" t="str">
        <f t="shared" si="2"/>
        <v>الدائرة الثامنة جنائي</v>
      </c>
      <c r="W29" s="17" t="s">
        <v>62</v>
      </c>
      <c r="X29" s="17" t="s">
        <v>550</v>
      </c>
      <c r="Y29" s="17" t="s">
        <v>137</v>
      </c>
      <c r="Z29" s="18" t="s">
        <v>544</v>
      </c>
      <c r="AI29" s="18" t="s">
        <v>94</v>
      </c>
      <c r="AJ29" s="17" t="s">
        <v>174</v>
      </c>
    </row>
    <row r="30" spans="1:36" x14ac:dyDescent="0.3">
      <c r="A30" s="17">
        <v>74</v>
      </c>
      <c r="B30" s="18" t="s">
        <v>165</v>
      </c>
      <c r="C30" s="18" t="s">
        <v>31</v>
      </c>
      <c r="D30" s="17" t="s">
        <v>64</v>
      </c>
      <c r="E30" s="17" t="s">
        <v>140</v>
      </c>
      <c r="F30" s="18" t="str">
        <f t="shared" si="0"/>
        <v>الدائرة الخامسة مدني كلي ومستأنف</v>
      </c>
      <c r="G30" s="17">
        <v>61</v>
      </c>
      <c r="H30" s="17" t="s">
        <v>60</v>
      </c>
      <c r="I30" s="17">
        <v>200338</v>
      </c>
      <c r="J30" s="18" t="s">
        <v>200</v>
      </c>
      <c r="K30" s="18" t="s">
        <v>60</v>
      </c>
      <c r="L30" s="17" t="s">
        <v>133</v>
      </c>
      <c r="M30" s="17">
        <v>381</v>
      </c>
      <c r="N30" s="18" t="str">
        <f t="shared" si="1"/>
        <v>محكمة بني سويف الابتدائية</v>
      </c>
      <c r="O30" s="18" t="s">
        <v>195</v>
      </c>
      <c r="P30" s="17" t="s">
        <v>196</v>
      </c>
      <c r="Q30" s="17">
        <v>230169</v>
      </c>
      <c r="R30" s="18" t="s">
        <v>575</v>
      </c>
      <c r="S30" s="17" t="s">
        <v>541</v>
      </c>
      <c r="T30" s="17" t="s">
        <v>542</v>
      </c>
      <c r="U30" s="17">
        <v>57</v>
      </c>
      <c r="V30" s="18" t="str">
        <f t="shared" si="2"/>
        <v>الدائرة الأولى مدني كلي</v>
      </c>
      <c r="W30" s="17" t="s">
        <v>60</v>
      </c>
      <c r="X30" s="17" t="s">
        <v>543</v>
      </c>
      <c r="Y30" s="17" t="s">
        <v>137</v>
      </c>
      <c r="Z30" s="18" t="s">
        <v>544</v>
      </c>
      <c r="AI30" s="18" t="s">
        <v>95</v>
      </c>
      <c r="AJ30" s="17" t="s">
        <v>174</v>
      </c>
    </row>
    <row r="31" spans="1:36" x14ac:dyDescent="0.3">
      <c r="A31" s="17">
        <v>75</v>
      </c>
      <c r="B31" s="18" t="s">
        <v>166</v>
      </c>
      <c r="C31" s="18" t="s">
        <v>31</v>
      </c>
      <c r="D31" s="17" t="s">
        <v>64</v>
      </c>
      <c r="E31" s="17" t="s">
        <v>140</v>
      </c>
      <c r="F31" s="18" t="str">
        <f t="shared" si="0"/>
        <v>الدائرة الخامسة مدني كلي ومستأنف</v>
      </c>
      <c r="G31" s="17">
        <v>61</v>
      </c>
      <c r="H31" s="17" t="s">
        <v>60</v>
      </c>
      <c r="I31" s="17">
        <v>200339</v>
      </c>
      <c r="J31" s="18" t="s">
        <v>201</v>
      </c>
      <c r="K31" s="18" t="s">
        <v>60</v>
      </c>
      <c r="L31" s="17" t="s">
        <v>133</v>
      </c>
      <c r="M31" s="17">
        <v>396</v>
      </c>
      <c r="N31" s="18" t="str">
        <f t="shared" si="1"/>
        <v>محكمة بني سويف الابتدائية</v>
      </c>
      <c r="O31" s="18" t="s">
        <v>193</v>
      </c>
      <c r="P31" s="17" t="s">
        <v>194</v>
      </c>
      <c r="Q31" s="17">
        <v>230170</v>
      </c>
      <c r="R31" s="18" t="s">
        <v>576</v>
      </c>
      <c r="S31" s="17" t="s">
        <v>546</v>
      </c>
      <c r="T31" s="17" t="s">
        <v>542</v>
      </c>
      <c r="U31" s="17">
        <v>57</v>
      </c>
      <c r="V31" s="18" t="str">
        <f t="shared" si="2"/>
        <v>الدائرة الأولى مدني كلي</v>
      </c>
      <c r="W31" s="17" t="s">
        <v>60</v>
      </c>
      <c r="X31" s="17" t="s">
        <v>547</v>
      </c>
      <c r="Y31" s="17" t="s">
        <v>137</v>
      </c>
      <c r="Z31" s="18" t="s">
        <v>544</v>
      </c>
      <c r="AI31" s="18" t="s">
        <v>96</v>
      </c>
      <c r="AJ31" s="17" t="s">
        <v>174</v>
      </c>
    </row>
    <row r="32" spans="1:36" x14ac:dyDescent="0.3">
      <c r="A32" s="17">
        <v>76</v>
      </c>
      <c r="B32" s="18" t="s">
        <v>167</v>
      </c>
      <c r="C32" s="18" t="s">
        <v>31</v>
      </c>
      <c r="D32" s="17" t="s">
        <v>64</v>
      </c>
      <c r="E32" s="17" t="s">
        <v>140</v>
      </c>
      <c r="F32" s="18" t="str">
        <f t="shared" si="0"/>
        <v>الدائرة الخامسة مدني كلي ومستأنف</v>
      </c>
      <c r="G32" s="17">
        <v>61</v>
      </c>
      <c r="H32" s="17" t="s">
        <v>60</v>
      </c>
      <c r="I32" s="17">
        <v>200340</v>
      </c>
      <c r="J32" s="18" t="s">
        <v>202</v>
      </c>
      <c r="K32" s="18" t="s">
        <v>105</v>
      </c>
      <c r="L32" s="17" t="s">
        <v>133</v>
      </c>
      <c r="M32" s="17">
        <v>411</v>
      </c>
      <c r="N32" s="18" t="str">
        <f t="shared" si="1"/>
        <v>محكمة بني سويف الابتدائية</v>
      </c>
      <c r="O32" s="18" t="s">
        <v>195</v>
      </c>
      <c r="P32" s="17" t="s">
        <v>196</v>
      </c>
      <c r="Q32" s="17">
        <v>230171</v>
      </c>
      <c r="R32" s="18" t="s">
        <v>577</v>
      </c>
      <c r="S32" s="17" t="s">
        <v>549</v>
      </c>
      <c r="T32" s="17" t="s">
        <v>542</v>
      </c>
      <c r="U32" s="17">
        <v>57</v>
      </c>
      <c r="V32" s="18" t="str">
        <f t="shared" si="2"/>
        <v>الدائرة الأولى مدني كلي</v>
      </c>
      <c r="W32" s="17" t="s">
        <v>60</v>
      </c>
      <c r="X32" s="17" t="s">
        <v>550</v>
      </c>
      <c r="Y32" s="17" t="s">
        <v>137</v>
      </c>
      <c r="Z32" s="18" t="s">
        <v>544</v>
      </c>
      <c r="AI32" s="18" t="s">
        <v>97</v>
      </c>
      <c r="AJ32" s="17" t="s">
        <v>174</v>
      </c>
    </row>
    <row r="33" spans="1:36" x14ac:dyDescent="0.3">
      <c r="A33" s="17">
        <v>77</v>
      </c>
      <c r="B33" s="18" t="s">
        <v>164</v>
      </c>
      <c r="C33" s="18" t="s">
        <v>31</v>
      </c>
      <c r="D33" s="17" t="s">
        <v>64</v>
      </c>
      <c r="E33" s="17" t="s">
        <v>140</v>
      </c>
      <c r="F33" s="18" t="str">
        <f t="shared" si="0"/>
        <v>الدائرة السادسة مدني كلي</v>
      </c>
      <c r="G33" s="17">
        <v>62</v>
      </c>
      <c r="H33" s="17" t="s">
        <v>60</v>
      </c>
      <c r="I33" s="17">
        <v>200341</v>
      </c>
      <c r="J33" s="18" t="s">
        <v>203</v>
      </c>
      <c r="K33" s="18" t="s">
        <v>60</v>
      </c>
      <c r="L33" s="17" t="s">
        <v>134</v>
      </c>
      <c r="M33" s="17">
        <v>426</v>
      </c>
      <c r="N33" s="18" t="str">
        <f t="shared" si="1"/>
        <v>محكمة بني سويف الابتدائية</v>
      </c>
      <c r="O33" s="18" t="s">
        <v>204</v>
      </c>
      <c r="P33" s="17" t="s">
        <v>205</v>
      </c>
      <c r="Q33" s="17">
        <v>230172</v>
      </c>
      <c r="R33" s="18" t="s">
        <v>578</v>
      </c>
      <c r="S33" s="17" t="s">
        <v>555</v>
      </c>
      <c r="T33" s="17" t="s">
        <v>542</v>
      </c>
      <c r="U33" s="17">
        <v>57</v>
      </c>
      <c r="V33" s="18" t="str">
        <f t="shared" si="2"/>
        <v>الدائرة الأولى مدني كلي</v>
      </c>
      <c r="W33" s="17" t="s">
        <v>60</v>
      </c>
      <c r="X33" s="17" t="s">
        <v>556</v>
      </c>
      <c r="Y33" s="17" t="s">
        <v>137</v>
      </c>
      <c r="Z33" s="18" t="s">
        <v>544</v>
      </c>
      <c r="AI33" s="18" t="s">
        <v>98</v>
      </c>
      <c r="AJ33" s="17" t="s">
        <v>174</v>
      </c>
    </row>
    <row r="34" spans="1:36" x14ac:dyDescent="0.3">
      <c r="A34" s="17">
        <v>78</v>
      </c>
      <c r="B34" s="18" t="s">
        <v>165</v>
      </c>
      <c r="C34" s="18" t="s">
        <v>31</v>
      </c>
      <c r="D34" s="17" t="s">
        <v>64</v>
      </c>
      <c r="E34" s="17" t="s">
        <v>140</v>
      </c>
      <c r="F34" s="18" t="str">
        <f t="shared" si="0"/>
        <v>الدائرة السادسة مدني كلي</v>
      </c>
      <c r="G34" s="17">
        <v>62</v>
      </c>
      <c r="H34" s="17" t="s">
        <v>60</v>
      </c>
      <c r="I34" s="17">
        <v>200342</v>
      </c>
      <c r="J34" s="18" t="s">
        <v>206</v>
      </c>
      <c r="K34" s="18" t="s">
        <v>60</v>
      </c>
      <c r="L34" s="17" t="s">
        <v>135</v>
      </c>
      <c r="M34" s="17">
        <v>441</v>
      </c>
      <c r="N34" s="18" t="str">
        <f t="shared" si="1"/>
        <v>محكمة بني سويف الابتدائية</v>
      </c>
      <c r="O34" s="18" t="s">
        <v>207</v>
      </c>
      <c r="P34" s="17" t="s">
        <v>208</v>
      </c>
      <c r="Q34" s="17">
        <v>1</v>
      </c>
      <c r="R34" s="18" t="s">
        <v>579</v>
      </c>
      <c r="S34" s="17" t="s">
        <v>541</v>
      </c>
      <c r="T34" s="17" t="s">
        <v>542</v>
      </c>
      <c r="U34" s="17">
        <v>58</v>
      </c>
      <c r="V34" s="18" t="str">
        <f t="shared" si="2"/>
        <v>الدائرة الثانية مدني كلي</v>
      </c>
      <c r="W34" s="17" t="s">
        <v>60</v>
      </c>
      <c r="X34" s="17" t="s">
        <v>543</v>
      </c>
      <c r="Y34" s="17" t="s">
        <v>137</v>
      </c>
      <c r="Z34" s="18" t="s">
        <v>544</v>
      </c>
      <c r="AI34" s="18" t="s">
        <v>99</v>
      </c>
      <c r="AJ34" s="17" t="s">
        <v>174</v>
      </c>
    </row>
    <row r="35" spans="1:36" x14ac:dyDescent="0.3">
      <c r="A35" s="17">
        <v>79</v>
      </c>
      <c r="B35" s="18" t="s">
        <v>166</v>
      </c>
      <c r="C35" s="18" t="s">
        <v>31</v>
      </c>
      <c r="D35" s="17" t="s">
        <v>64</v>
      </c>
      <c r="E35" s="17" t="s">
        <v>140</v>
      </c>
      <c r="F35" s="18" t="str">
        <f t="shared" si="0"/>
        <v>الدائرة السادسة مدني كلي</v>
      </c>
      <c r="G35" s="17">
        <v>62</v>
      </c>
      <c r="H35" s="17" t="s">
        <v>60</v>
      </c>
      <c r="I35" s="17">
        <v>200343</v>
      </c>
      <c r="J35" s="18" t="s">
        <v>209</v>
      </c>
      <c r="K35" s="18" t="s">
        <v>105</v>
      </c>
      <c r="L35" s="17" t="s">
        <v>135</v>
      </c>
      <c r="M35" s="17">
        <v>456</v>
      </c>
      <c r="N35" s="18" t="str">
        <f t="shared" si="1"/>
        <v>محكمة بني سويف الابتدائية</v>
      </c>
      <c r="O35" s="18" t="s">
        <v>204</v>
      </c>
      <c r="P35" s="17" t="s">
        <v>205</v>
      </c>
      <c r="Q35" s="17">
        <v>230173</v>
      </c>
      <c r="R35" s="18" t="s">
        <v>580</v>
      </c>
      <c r="S35" s="17" t="s">
        <v>546</v>
      </c>
      <c r="T35" s="17" t="s">
        <v>542</v>
      </c>
      <c r="U35" s="17">
        <v>58</v>
      </c>
      <c r="V35" s="18" t="str">
        <f t="shared" si="2"/>
        <v>الدائرة الثانية مدني كلي</v>
      </c>
      <c r="W35" s="17" t="s">
        <v>60</v>
      </c>
      <c r="X35" s="17" t="s">
        <v>547</v>
      </c>
      <c r="Y35" s="17" t="s">
        <v>137</v>
      </c>
      <c r="Z35" s="18" t="s">
        <v>544</v>
      </c>
      <c r="AI35" s="18" t="s">
        <v>100</v>
      </c>
      <c r="AJ35" s="17" t="s">
        <v>174</v>
      </c>
    </row>
    <row r="36" spans="1:36" x14ac:dyDescent="0.3">
      <c r="A36" s="17">
        <v>80</v>
      </c>
      <c r="B36" s="18" t="s">
        <v>164</v>
      </c>
      <c r="C36" s="18" t="s">
        <v>31</v>
      </c>
      <c r="D36" s="17" t="s">
        <v>64</v>
      </c>
      <c r="E36" s="17" t="s">
        <v>140</v>
      </c>
      <c r="F36" s="18" t="str">
        <f t="shared" si="0"/>
        <v>الدائرة السادسة مدني كلي</v>
      </c>
      <c r="G36" s="17">
        <v>62</v>
      </c>
      <c r="H36" s="17" t="s">
        <v>60</v>
      </c>
      <c r="I36" s="17">
        <v>200344</v>
      </c>
      <c r="J36" s="18" t="s">
        <v>210</v>
      </c>
      <c r="K36" s="18" t="s">
        <v>60</v>
      </c>
      <c r="L36" s="17" t="s">
        <v>135</v>
      </c>
      <c r="M36" s="17">
        <v>471</v>
      </c>
      <c r="N36" s="18" t="str">
        <f t="shared" si="1"/>
        <v>محكمة بني سويف الابتدائية</v>
      </c>
      <c r="O36" s="18" t="s">
        <v>207</v>
      </c>
      <c r="P36" s="17" t="s">
        <v>208</v>
      </c>
      <c r="Q36" s="17">
        <v>230174</v>
      </c>
      <c r="R36" s="18" t="s">
        <v>581</v>
      </c>
      <c r="S36" s="17" t="s">
        <v>549</v>
      </c>
      <c r="T36" s="17" t="s">
        <v>542</v>
      </c>
      <c r="U36" s="17">
        <v>58</v>
      </c>
      <c r="V36" s="18" t="str">
        <f t="shared" si="2"/>
        <v>الدائرة الثانية مدني كلي</v>
      </c>
      <c r="W36" s="17" t="s">
        <v>60</v>
      </c>
      <c r="X36" s="17" t="s">
        <v>550</v>
      </c>
      <c r="Y36" s="17" t="s">
        <v>137</v>
      </c>
      <c r="Z36" s="18" t="s">
        <v>544</v>
      </c>
      <c r="AI36" s="18" t="s">
        <v>101</v>
      </c>
      <c r="AJ36" s="17" t="s">
        <v>174</v>
      </c>
    </row>
    <row r="37" spans="1:36" x14ac:dyDescent="0.3">
      <c r="A37" s="17">
        <v>81</v>
      </c>
      <c r="B37" s="18" t="s">
        <v>165</v>
      </c>
      <c r="C37" s="18" t="s">
        <v>31</v>
      </c>
      <c r="D37" s="17" t="s">
        <v>64</v>
      </c>
      <c r="E37" s="17" t="s">
        <v>140</v>
      </c>
      <c r="F37" s="18" t="str">
        <f t="shared" si="0"/>
        <v>الدائرة السادسة مدني كلي</v>
      </c>
      <c r="G37" s="17">
        <v>62</v>
      </c>
      <c r="H37" s="17" t="s">
        <v>60</v>
      </c>
      <c r="I37" s="17">
        <v>200345</v>
      </c>
      <c r="J37" s="18" t="s">
        <v>211</v>
      </c>
      <c r="K37" s="18" t="s">
        <v>60</v>
      </c>
      <c r="L37" s="17" t="s">
        <v>136</v>
      </c>
      <c r="M37" s="17">
        <v>486</v>
      </c>
      <c r="N37" s="18" t="str">
        <f t="shared" si="1"/>
        <v>محكمة بني سويف الابتدائية</v>
      </c>
      <c r="O37" s="18" t="s">
        <v>204</v>
      </c>
      <c r="P37" s="17" t="s">
        <v>205</v>
      </c>
      <c r="Q37" s="17">
        <v>230175</v>
      </c>
      <c r="R37" s="18" t="s">
        <v>582</v>
      </c>
      <c r="S37" s="17" t="s">
        <v>555</v>
      </c>
      <c r="T37" s="17" t="s">
        <v>542</v>
      </c>
      <c r="U37" s="17">
        <v>58</v>
      </c>
      <c r="V37" s="18" t="str">
        <f t="shared" ref="V37:V68" si="3">IFERROR(VLOOKUP(U37, $A$5:$B$53, 2, FALSE), "")</f>
        <v>الدائرة الثانية مدني كلي</v>
      </c>
      <c r="W37" s="17" t="s">
        <v>60</v>
      </c>
      <c r="X37" s="17" t="s">
        <v>556</v>
      </c>
      <c r="Y37" s="17" t="s">
        <v>137</v>
      </c>
      <c r="Z37" s="18" t="s">
        <v>544</v>
      </c>
      <c r="AI37" s="18" t="s">
        <v>66</v>
      </c>
      <c r="AJ37" s="17" t="s">
        <v>174</v>
      </c>
    </row>
    <row r="38" spans="1:36" x14ac:dyDescent="0.3">
      <c r="A38" s="17">
        <v>82</v>
      </c>
      <c r="B38" s="18" t="s">
        <v>166</v>
      </c>
      <c r="C38" s="18" t="s">
        <v>31</v>
      </c>
      <c r="D38" s="17" t="s">
        <v>64</v>
      </c>
      <c r="E38" s="17" t="s">
        <v>140</v>
      </c>
      <c r="F38" s="18" t="str">
        <f t="shared" si="0"/>
        <v>الدائرة السادسة مدني كلي</v>
      </c>
      <c r="G38" s="17">
        <v>62</v>
      </c>
      <c r="H38" s="17" t="s">
        <v>60</v>
      </c>
      <c r="I38" s="17">
        <v>200346</v>
      </c>
      <c r="J38" s="18" t="s">
        <v>190</v>
      </c>
      <c r="K38" s="18" t="s">
        <v>103</v>
      </c>
      <c r="L38" s="17" t="s">
        <v>136</v>
      </c>
      <c r="M38" s="17">
        <v>501</v>
      </c>
      <c r="N38" s="18" t="str">
        <f t="shared" si="1"/>
        <v>محكمة بني سويف الابتدائية</v>
      </c>
      <c r="O38" s="18" t="s">
        <v>207</v>
      </c>
      <c r="P38" s="17" t="s">
        <v>208</v>
      </c>
      <c r="Q38" s="17">
        <v>8</v>
      </c>
      <c r="R38" s="18" t="s">
        <v>583</v>
      </c>
      <c r="S38" s="17" t="s">
        <v>541</v>
      </c>
      <c r="T38" s="17" t="s">
        <v>542</v>
      </c>
      <c r="U38" s="17">
        <v>59</v>
      </c>
      <c r="V38" s="18" t="str">
        <f t="shared" si="3"/>
        <v>الدائرة الثالثة مدني كلي</v>
      </c>
      <c r="W38" s="17" t="s">
        <v>60</v>
      </c>
      <c r="X38" s="17" t="s">
        <v>543</v>
      </c>
      <c r="Y38" s="17" t="s">
        <v>137</v>
      </c>
      <c r="Z38" s="18" t="s">
        <v>544</v>
      </c>
      <c r="AI38" s="18" t="s">
        <v>102</v>
      </c>
      <c r="AJ38" s="17" t="s">
        <v>174</v>
      </c>
    </row>
    <row r="39" spans="1:36" x14ac:dyDescent="0.3">
      <c r="A39" s="17">
        <v>83</v>
      </c>
      <c r="B39" s="18" t="s">
        <v>164</v>
      </c>
      <c r="C39" s="18" t="s">
        <v>31</v>
      </c>
      <c r="D39" s="17" t="s">
        <v>64</v>
      </c>
      <c r="E39" s="17" t="s">
        <v>140</v>
      </c>
      <c r="F39" s="18" t="str">
        <f t="shared" si="0"/>
        <v>الدائرة السادسة مدني كلي</v>
      </c>
      <c r="G39" s="17">
        <v>62</v>
      </c>
      <c r="H39" s="17" t="s">
        <v>60</v>
      </c>
      <c r="I39" s="17">
        <v>200347</v>
      </c>
      <c r="J39" s="18" t="s">
        <v>212</v>
      </c>
      <c r="K39" s="18" t="s">
        <v>107</v>
      </c>
      <c r="L39" s="17" t="s">
        <v>136</v>
      </c>
      <c r="M39" s="17">
        <v>516</v>
      </c>
      <c r="N39" s="18" t="str">
        <f t="shared" si="1"/>
        <v>محكمة بني سويف الابتدائية</v>
      </c>
      <c r="O39" s="18" t="s">
        <v>204</v>
      </c>
      <c r="P39" s="17" t="s">
        <v>205</v>
      </c>
      <c r="Q39" s="17">
        <v>10</v>
      </c>
      <c r="R39" s="18" t="s">
        <v>584</v>
      </c>
      <c r="S39" s="17" t="s">
        <v>546</v>
      </c>
      <c r="T39" s="17" t="s">
        <v>542</v>
      </c>
      <c r="U39" s="17">
        <v>59</v>
      </c>
      <c r="V39" s="18" t="str">
        <f t="shared" si="3"/>
        <v>الدائرة الثالثة مدني كلي</v>
      </c>
      <c r="W39" s="17" t="s">
        <v>60</v>
      </c>
      <c r="X39" s="17" t="s">
        <v>547</v>
      </c>
      <c r="Y39" s="17" t="s">
        <v>137</v>
      </c>
      <c r="Z39" s="18" t="s">
        <v>544</v>
      </c>
      <c r="AI39" s="18" t="s">
        <v>103</v>
      </c>
      <c r="AJ39" s="17" t="s">
        <v>174</v>
      </c>
    </row>
    <row r="40" spans="1:36" x14ac:dyDescent="0.3">
      <c r="A40" s="17">
        <v>84</v>
      </c>
      <c r="B40" s="18" t="s">
        <v>165</v>
      </c>
      <c r="C40" s="18" t="s">
        <v>31</v>
      </c>
      <c r="D40" s="17" t="s">
        <v>64</v>
      </c>
      <c r="E40" s="17" t="s">
        <v>140</v>
      </c>
      <c r="F40" s="18" t="str">
        <f t="shared" si="0"/>
        <v>الدائرة السابعة مدني كلي ومستأنف</v>
      </c>
      <c r="G40" s="17">
        <v>63</v>
      </c>
      <c r="H40" s="17" t="s">
        <v>60</v>
      </c>
      <c r="I40" s="17">
        <v>200348</v>
      </c>
      <c r="J40" s="18" t="s">
        <v>213</v>
      </c>
      <c r="K40" s="18" t="s">
        <v>60</v>
      </c>
      <c r="L40" s="17" t="s">
        <v>131</v>
      </c>
      <c r="M40" s="17">
        <v>531</v>
      </c>
      <c r="N40" s="18" t="str">
        <f t="shared" si="1"/>
        <v>محكمة بني سويف الابتدائية</v>
      </c>
      <c r="O40" s="18" t="s">
        <v>207</v>
      </c>
      <c r="P40" s="17" t="s">
        <v>208</v>
      </c>
      <c r="Q40" s="17">
        <v>230176</v>
      </c>
      <c r="R40" s="18" t="s">
        <v>585</v>
      </c>
      <c r="S40" s="17" t="s">
        <v>549</v>
      </c>
      <c r="T40" s="17" t="s">
        <v>542</v>
      </c>
      <c r="U40" s="17">
        <v>59</v>
      </c>
      <c r="V40" s="18" t="str">
        <f t="shared" si="3"/>
        <v>الدائرة الثالثة مدني كلي</v>
      </c>
      <c r="W40" s="17" t="s">
        <v>60</v>
      </c>
      <c r="X40" s="17" t="s">
        <v>550</v>
      </c>
      <c r="Y40" s="17" t="s">
        <v>137</v>
      </c>
      <c r="Z40" s="18" t="s">
        <v>544</v>
      </c>
      <c r="AI40" s="18" t="s">
        <v>104</v>
      </c>
      <c r="AJ40" s="17" t="s">
        <v>174</v>
      </c>
    </row>
    <row r="41" spans="1:36" x14ac:dyDescent="0.3">
      <c r="A41" s="17">
        <v>85</v>
      </c>
      <c r="B41" s="18" t="s">
        <v>164</v>
      </c>
      <c r="C41" s="18" t="s">
        <v>31</v>
      </c>
      <c r="D41" s="17" t="s">
        <v>64</v>
      </c>
      <c r="E41" s="17" t="s">
        <v>140</v>
      </c>
      <c r="F41" s="18" t="str">
        <f t="shared" si="0"/>
        <v>الدائرة السابعة مدني كلي ومستأنف</v>
      </c>
      <c r="G41" s="17">
        <v>63</v>
      </c>
      <c r="H41" s="17" t="s">
        <v>60</v>
      </c>
      <c r="I41" s="17">
        <v>200349</v>
      </c>
      <c r="J41" s="18" t="s">
        <v>214</v>
      </c>
      <c r="K41" s="18" t="s">
        <v>60</v>
      </c>
      <c r="L41" s="17" t="s">
        <v>132</v>
      </c>
      <c r="M41" s="17">
        <v>546</v>
      </c>
      <c r="N41" s="18" t="str">
        <f t="shared" si="1"/>
        <v>محكمة بني سويف الابتدائية</v>
      </c>
      <c r="O41" s="18" t="s">
        <v>204</v>
      </c>
      <c r="P41" s="17" t="s">
        <v>205</v>
      </c>
      <c r="Q41" s="17">
        <v>3</v>
      </c>
      <c r="R41" s="18" t="s">
        <v>586</v>
      </c>
      <c r="S41" s="17" t="s">
        <v>555</v>
      </c>
      <c r="T41" s="17" t="s">
        <v>542</v>
      </c>
      <c r="U41" s="17">
        <v>59</v>
      </c>
      <c r="V41" s="18" t="str">
        <f t="shared" si="3"/>
        <v>الدائرة الثالثة مدني كلي</v>
      </c>
      <c r="W41" s="17" t="s">
        <v>60</v>
      </c>
      <c r="X41" s="17" t="s">
        <v>556</v>
      </c>
      <c r="Y41" s="17" t="s">
        <v>137</v>
      </c>
      <c r="Z41" s="18" t="s">
        <v>544</v>
      </c>
      <c r="AI41" s="18" t="s">
        <v>105</v>
      </c>
      <c r="AJ41" s="17" t="s">
        <v>174</v>
      </c>
    </row>
    <row r="42" spans="1:36" x14ac:dyDescent="0.3">
      <c r="A42" s="17">
        <v>86</v>
      </c>
      <c r="B42" s="18" t="s">
        <v>165</v>
      </c>
      <c r="C42" s="18" t="s">
        <v>31</v>
      </c>
      <c r="D42" s="17" t="s">
        <v>64</v>
      </c>
      <c r="E42" s="17" t="s">
        <v>140</v>
      </c>
      <c r="F42" s="18" t="str">
        <f t="shared" si="0"/>
        <v>الدائرة السابعة مدني كلي ومستأنف</v>
      </c>
      <c r="G42" s="17">
        <v>63</v>
      </c>
      <c r="H42" s="17" t="s">
        <v>60</v>
      </c>
      <c r="I42" s="17">
        <v>200350</v>
      </c>
      <c r="J42" s="18" t="s">
        <v>215</v>
      </c>
      <c r="K42" s="18" t="s">
        <v>106</v>
      </c>
      <c r="L42" s="17" t="s">
        <v>132</v>
      </c>
      <c r="M42" s="17">
        <v>561</v>
      </c>
      <c r="N42" s="18" t="str">
        <f t="shared" si="1"/>
        <v>محكمة بني سويف الابتدائية</v>
      </c>
      <c r="O42" s="18" t="s">
        <v>207</v>
      </c>
      <c r="P42" s="17" t="s">
        <v>208</v>
      </c>
      <c r="Q42" s="17">
        <v>230177</v>
      </c>
      <c r="R42" s="18" t="s">
        <v>587</v>
      </c>
      <c r="S42" s="17" t="s">
        <v>541</v>
      </c>
      <c r="T42" s="17" t="s">
        <v>542</v>
      </c>
      <c r="U42" s="17">
        <v>60</v>
      </c>
      <c r="V42" s="18" t="str">
        <f t="shared" si="3"/>
        <v>الدائرة الرابعة مدني كلي</v>
      </c>
      <c r="W42" s="17" t="s">
        <v>60</v>
      </c>
      <c r="X42" s="17" t="s">
        <v>543</v>
      </c>
      <c r="Y42" s="17" t="s">
        <v>137</v>
      </c>
      <c r="Z42" s="18" t="s">
        <v>544</v>
      </c>
      <c r="AI42" s="18" t="s">
        <v>106</v>
      </c>
      <c r="AJ42" s="17" t="s">
        <v>174</v>
      </c>
    </row>
    <row r="43" spans="1:36" x14ac:dyDescent="0.3">
      <c r="A43" s="17">
        <v>87</v>
      </c>
      <c r="B43" s="18" t="s">
        <v>164</v>
      </c>
      <c r="C43" s="18" t="s">
        <v>31</v>
      </c>
      <c r="D43" s="17" t="s">
        <v>64</v>
      </c>
      <c r="E43" s="17" t="s">
        <v>140</v>
      </c>
      <c r="F43" s="18" t="str">
        <f t="shared" si="0"/>
        <v>الدائرة السابعة مدني كلي ومستأنف</v>
      </c>
      <c r="G43" s="17">
        <v>63</v>
      </c>
      <c r="H43" s="17" t="s">
        <v>60</v>
      </c>
      <c r="I43" s="17">
        <v>200351</v>
      </c>
      <c r="J43" s="18" t="s">
        <v>216</v>
      </c>
      <c r="K43" s="18" t="s">
        <v>60</v>
      </c>
      <c r="L43" s="17" t="s">
        <v>133</v>
      </c>
      <c r="M43" s="17">
        <v>576</v>
      </c>
      <c r="N43" s="18" t="str">
        <f t="shared" si="1"/>
        <v>محكمة بني سويف الابتدائية</v>
      </c>
      <c r="O43" s="18" t="s">
        <v>204</v>
      </c>
      <c r="P43" s="17" t="s">
        <v>205</v>
      </c>
      <c r="Q43" s="17">
        <v>230178</v>
      </c>
      <c r="R43" s="18" t="s">
        <v>588</v>
      </c>
      <c r="S43" s="17" t="s">
        <v>546</v>
      </c>
      <c r="T43" s="17" t="s">
        <v>542</v>
      </c>
      <c r="U43" s="17">
        <v>60</v>
      </c>
      <c r="V43" s="18" t="str">
        <f t="shared" si="3"/>
        <v>الدائرة الرابعة مدني كلي</v>
      </c>
      <c r="W43" s="17" t="s">
        <v>60</v>
      </c>
      <c r="X43" s="17" t="s">
        <v>547</v>
      </c>
      <c r="Y43" s="17" t="s">
        <v>137</v>
      </c>
      <c r="Z43" s="18" t="s">
        <v>544</v>
      </c>
      <c r="AI43" s="18" t="s">
        <v>107</v>
      </c>
      <c r="AJ43" s="17" t="s">
        <v>174</v>
      </c>
    </row>
    <row r="44" spans="1:36" x14ac:dyDescent="0.3">
      <c r="A44" s="17">
        <v>88</v>
      </c>
      <c r="B44" s="18" t="s">
        <v>165</v>
      </c>
      <c r="C44" s="18" t="s">
        <v>31</v>
      </c>
      <c r="D44" s="17" t="s">
        <v>64</v>
      </c>
      <c r="E44" s="17" t="s">
        <v>140</v>
      </c>
      <c r="F44" s="18" t="str">
        <f t="shared" si="0"/>
        <v>الدائرة السابعة مدني كلي ومستأنف</v>
      </c>
      <c r="G44" s="17">
        <v>63</v>
      </c>
      <c r="H44" s="17" t="s">
        <v>60</v>
      </c>
      <c r="I44" s="17">
        <v>200352</v>
      </c>
      <c r="J44" s="18" t="s">
        <v>217</v>
      </c>
      <c r="K44" s="18" t="s">
        <v>60</v>
      </c>
      <c r="L44" s="17" t="s">
        <v>133</v>
      </c>
      <c r="M44" s="17">
        <v>591</v>
      </c>
      <c r="N44" s="18" t="str">
        <f t="shared" si="1"/>
        <v>محكمة بني سويف الابتدائية</v>
      </c>
      <c r="O44" s="18" t="s">
        <v>207</v>
      </c>
      <c r="P44" s="17" t="s">
        <v>208</v>
      </c>
      <c r="Q44" s="17">
        <v>230179</v>
      </c>
      <c r="R44" s="18" t="s">
        <v>589</v>
      </c>
      <c r="S44" s="17" t="s">
        <v>549</v>
      </c>
      <c r="T44" s="17" t="s">
        <v>542</v>
      </c>
      <c r="U44" s="17">
        <v>60</v>
      </c>
      <c r="V44" s="18" t="str">
        <f t="shared" si="3"/>
        <v>الدائرة الرابعة مدني كلي</v>
      </c>
      <c r="W44" s="17" t="s">
        <v>60</v>
      </c>
      <c r="X44" s="17" t="s">
        <v>550</v>
      </c>
      <c r="Y44" s="17" t="s">
        <v>137</v>
      </c>
      <c r="Z44" s="18" t="s">
        <v>544</v>
      </c>
      <c r="AI44" s="18" t="s">
        <v>69</v>
      </c>
      <c r="AJ44" s="17" t="s">
        <v>174</v>
      </c>
    </row>
    <row r="45" spans="1:36" x14ac:dyDescent="0.3">
      <c r="A45" s="17">
        <v>89</v>
      </c>
      <c r="B45" s="18" t="s">
        <v>166</v>
      </c>
      <c r="C45" s="18" t="s">
        <v>31</v>
      </c>
      <c r="D45" s="17" t="s">
        <v>64</v>
      </c>
      <c r="E45" s="17" t="s">
        <v>140</v>
      </c>
      <c r="F45" s="18" t="str">
        <f t="shared" si="0"/>
        <v>الدائرة الثامنة مدني مستأنف</v>
      </c>
      <c r="G45" s="17">
        <v>64</v>
      </c>
      <c r="H45" s="17" t="s">
        <v>60</v>
      </c>
      <c r="I45" s="17">
        <v>200353</v>
      </c>
      <c r="J45" s="18" t="s">
        <v>218</v>
      </c>
      <c r="K45" s="18" t="s">
        <v>60</v>
      </c>
      <c r="L45" s="17" t="s">
        <v>134</v>
      </c>
      <c r="M45" s="17">
        <v>606</v>
      </c>
      <c r="N45" s="18" t="str">
        <f t="shared" si="1"/>
        <v>محكمة بني سويف الابتدائية</v>
      </c>
      <c r="O45" s="18" t="s">
        <v>176</v>
      </c>
      <c r="P45" s="17" t="s">
        <v>177</v>
      </c>
      <c r="Q45" s="17">
        <v>230180</v>
      </c>
      <c r="R45" s="18" t="s">
        <v>590</v>
      </c>
      <c r="S45" s="17" t="s">
        <v>541</v>
      </c>
      <c r="T45" s="17" t="s">
        <v>542</v>
      </c>
      <c r="U45" s="17">
        <v>61</v>
      </c>
      <c r="V45" s="18" t="str">
        <f t="shared" si="3"/>
        <v>الدائرة الخامسة مدني كلي ومستأنف</v>
      </c>
      <c r="W45" s="17" t="s">
        <v>60</v>
      </c>
      <c r="X45" s="17" t="s">
        <v>543</v>
      </c>
      <c r="Y45" s="17" t="s">
        <v>137</v>
      </c>
      <c r="Z45" s="18" t="s">
        <v>544</v>
      </c>
      <c r="AI45" s="18" t="s">
        <v>60</v>
      </c>
      <c r="AJ45" s="17" t="s">
        <v>174</v>
      </c>
    </row>
    <row r="46" spans="1:36" x14ac:dyDescent="0.3">
      <c r="A46" s="17">
        <v>90</v>
      </c>
      <c r="B46" s="18" t="s">
        <v>164</v>
      </c>
      <c r="C46" s="18" t="s">
        <v>31</v>
      </c>
      <c r="D46" s="17" t="s">
        <v>64</v>
      </c>
      <c r="E46" s="17" t="s">
        <v>140</v>
      </c>
      <c r="F46" s="18" t="str">
        <f t="shared" si="0"/>
        <v>الدائرة الثامنة مدني مستأنف</v>
      </c>
      <c r="G46" s="17">
        <v>64</v>
      </c>
      <c r="H46" s="17" t="s">
        <v>60</v>
      </c>
      <c r="I46" s="17">
        <v>200354</v>
      </c>
      <c r="J46" s="18" t="s">
        <v>219</v>
      </c>
      <c r="K46" s="18" t="s">
        <v>102</v>
      </c>
      <c r="L46" s="17" t="s">
        <v>134</v>
      </c>
      <c r="M46" s="17">
        <v>621</v>
      </c>
      <c r="N46" s="18" t="str">
        <f t="shared" si="1"/>
        <v>محكمة بني سويف الابتدائية</v>
      </c>
      <c r="O46" s="18" t="s">
        <v>179</v>
      </c>
      <c r="P46" s="17" t="s">
        <v>180</v>
      </c>
      <c r="Q46" s="17">
        <v>230181</v>
      </c>
      <c r="R46" s="18" t="s">
        <v>591</v>
      </c>
      <c r="S46" s="17" t="s">
        <v>546</v>
      </c>
      <c r="T46" s="17" t="s">
        <v>542</v>
      </c>
      <c r="U46" s="17">
        <v>61</v>
      </c>
      <c r="V46" s="18" t="str">
        <f t="shared" si="3"/>
        <v>الدائرة الخامسة مدني كلي ومستأنف</v>
      </c>
      <c r="W46" s="17" t="s">
        <v>60</v>
      </c>
      <c r="X46" s="17" t="s">
        <v>547</v>
      </c>
      <c r="Y46" s="17" t="s">
        <v>137</v>
      </c>
      <c r="Z46" s="18" t="s">
        <v>544</v>
      </c>
      <c r="AI46" s="18" t="s">
        <v>108</v>
      </c>
      <c r="AJ46" s="17" t="s">
        <v>174</v>
      </c>
    </row>
    <row r="47" spans="1:36" x14ac:dyDescent="0.3">
      <c r="A47" s="17">
        <v>91</v>
      </c>
      <c r="B47" s="18" t="s">
        <v>165</v>
      </c>
      <c r="C47" s="18" t="s">
        <v>31</v>
      </c>
      <c r="D47" s="17" t="s">
        <v>64</v>
      </c>
      <c r="E47" s="17" t="s">
        <v>140</v>
      </c>
      <c r="F47" s="18" t="str">
        <f t="shared" si="0"/>
        <v>الدائرة الثامنة مدني مستأنف</v>
      </c>
      <c r="G47" s="17">
        <v>64</v>
      </c>
      <c r="H47" s="17" t="s">
        <v>60</v>
      </c>
      <c r="I47" s="17">
        <v>200355</v>
      </c>
      <c r="J47" s="18" t="s">
        <v>220</v>
      </c>
      <c r="K47" s="18" t="s">
        <v>60</v>
      </c>
      <c r="L47" s="17" t="s">
        <v>135</v>
      </c>
      <c r="M47" s="17">
        <v>636</v>
      </c>
      <c r="N47" s="18" t="str">
        <f t="shared" si="1"/>
        <v>محكمة بني سويف الابتدائية</v>
      </c>
      <c r="O47" s="18" t="s">
        <v>172</v>
      </c>
      <c r="P47" s="17" t="s">
        <v>173</v>
      </c>
      <c r="Q47" s="17">
        <v>230182</v>
      </c>
      <c r="R47" s="18" t="s">
        <v>592</v>
      </c>
      <c r="S47" s="17" t="s">
        <v>549</v>
      </c>
      <c r="T47" s="17" t="s">
        <v>542</v>
      </c>
      <c r="U47" s="17">
        <v>61</v>
      </c>
      <c r="V47" s="18" t="str">
        <f t="shared" si="3"/>
        <v>الدائرة الخامسة مدني كلي ومستأنف</v>
      </c>
      <c r="W47" s="17" t="s">
        <v>60</v>
      </c>
      <c r="X47" s="17" t="s">
        <v>550</v>
      </c>
      <c r="Y47" s="17" t="s">
        <v>137</v>
      </c>
      <c r="Z47" s="18" t="s">
        <v>544</v>
      </c>
      <c r="AI47" s="18" t="s">
        <v>109</v>
      </c>
      <c r="AJ47" s="17" t="s">
        <v>174</v>
      </c>
    </row>
    <row r="48" spans="1:36" x14ac:dyDescent="0.3">
      <c r="A48" s="17">
        <v>92</v>
      </c>
      <c r="B48" s="18" t="s">
        <v>166</v>
      </c>
      <c r="C48" s="18" t="s">
        <v>31</v>
      </c>
      <c r="D48" s="17" t="s">
        <v>64</v>
      </c>
      <c r="E48" s="17" t="s">
        <v>140</v>
      </c>
      <c r="F48" s="18" t="str">
        <f t="shared" si="0"/>
        <v>الدائرة الثامنة مدني مستأنف</v>
      </c>
      <c r="G48" s="17">
        <v>64</v>
      </c>
      <c r="H48" s="17" t="s">
        <v>60</v>
      </c>
      <c r="I48" s="17">
        <v>200356</v>
      </c>
      <c r="J48" s="18" t="s">
        <v>221</v>
      </c>
      <c r="K48" s="18" t="s">
        <v>60</v>
      </c>
      <c r="L48" s="17" t="s">
        <v>136</v>
      </c>
      <c r="M48" s="17">
        <v>651</v>
      </c>
      <c r="N48" s="18" t="str">
        <f t="shared" si="1"/>
        <v>محكمة بني سويف الابتدائية</v>
      </c>
      <c r="O48" s="18" t="s">
        <v>176</v>
      </c>
      <c r="P48" s="17" t="s">
        <v>177</v>
      </c>
      <c r="Q48" s="17">
        <v>230183</v>
      </c>
      <c r="R48" s="18" t="s">
        <v>593</v>
      </c>
      <c r="S48" s="17" t="s">
        <v>541</v>
      </c>
      <c r="T48" s="17" t="s">
        <v>542</v>
      </c>
      <c r="U48" s="17">
        <v>62</v>
      </c>
      <c r="V48" s="18" t="str">
        <f t="shared" si="3"/>
        <v>الدائرة السادسة مدني كلي</v>
      </c>
      <c r="W48" s="17" t="s">
        <v>60</v>
      </c>
      <c r="X48" s="17" t="s">
        <v>543</v>
      </c>
      <c r="Y48" s="17" t="s">
        <v>137</v>
      </c>
      <c r="Z48" s="18" t="s">
        <v>544</v>
      </c>
      <c r="AI48" s="18" t="s">
        <v>110</v>
      </c>
      <c r="AJ48" s="17" t="s">
        <v>174</v>
      </c>
    </row>
    <row r="49" spans="1:36" x14ac:dyDescent="0.3">
      <c r="A49" s="17">
        <v>93</v>
      </c>
      <c r="B49" s="18" t="s">
        <v>164</v>
      </c>
      <c r="C49" s="18" t="s">
        <v>31</v>
      </c>
      <c r="D49" s="17" t="s">
        <v>64</v>
      </c>
      <c r="E49" s="17" t="s">
        <v>140</v>
      </c>
      <c r="F49" s="18" t="str">
        <f t="shared" si="0"/>
        <v>الدائرة الثامنة مدني مستأنف</v>
      </c>
      <c r="G49" s="17">
        <v>64</v>
      </c>
      <c r="H49" s="17" t="s">
        <v>60</v>
      </c>
      <c r="I49" s="17">
        <v>200357</v>
      </c>
      <c r="J49" s="18" t="s">
        <v>222</v>
      </c>
      <c r="K49" s="18" t="s">
        <v>60</v>
      </c>
      <c r="L49" s="17" t="s">
        <v>136</v>
      </c>
      <c r="M49" s="17">
        <v>666</v>
      </c>
      <c r="N49" s="18" t="str">
        <f t="shared" si="1"/>
        <v>محكمة بني سويف الابتدائية</v>
      </c>
      <c r="O49" s="18" t="s">
        <v>179</v>
      </c>
      <c r="P49" s="17" t="s">
        <v>180</v>
      </c>
      <c r="Q49" s="17">
        <v>22</v>
      </c>
      <c r="R49" s="18" t="s">
        <v>594</v>
      </c>
      <c r="S49" s="17" t="s">
        <v>546</v>
      </c>
      <c r="T49" s="17" t="s">
        <v>542</v>
      </c>
      <c r="U49" s="17">
        <v>62</v>
      </c>
      <c r="V49" s="18" t="str">
        <f t="shared" si="3"/>
        <v>الدائرة السادسة مدني كلي</v>
      </c>
      <c r="W49" s="17" t="s">
        <v>60</v>
      </c>
      <c r="X49" s="17" t="s">
        <v>547</v>
      </c>
      <c r="Y49" s="17" t="s">
        <v>137</v>
      </c>
      <c r="Z49" s="18" t="s">
        <v>544</v>
      </c>
      <c r="AI49" s="18" t="s">
        <v>111</v>
      </c>
      <c r="AJ49" s="17" t="s">
        <v>174</v>
      </c>
    </row>
    <row r="50" spans="1:36" x14ac:dyDescent="0.3">
      <c r="A50" s="17">
        <v>94</v>
      </c>
      <c r="B50" s="18" t="s">
        <v>165</v>
      </c>
      <c r="C50" s="18" t="s">
        <v>31</v>
      </c>
      <c r="D50" s="17" t="s">
        <v>64</v>
      </c>
      <c r="E50" s="17" t="s">
        <v>140</v>
      </c>
      <c r="F50" s="18" t="str">
        <f t="shared" si="0"/>
        <v>الدائرة الأولى أسرة</v>
      </c>
      <c r="G50" s="17">
        <v>65</v>
      </c>
      <c r="H50" s="17" t="s">
        <v>61</v>
      </c>
      <c r="I50" s="17">
        <v>200358</v>
      </c>
      <c r="J50" s="18" t="s">
        <v>223</v>
      </c>
      <c r="K50" s="18" t="s">
        <v>89</v>
      </c>
      <c r="L50" s="17" t="s">
        <v>131</v>
      </c>
      <c r="M50" s="17">
        <v>6</v>
      </c>
      <c r="N50" s="18" t="str">
        <f t="shared" si="1"/>
        <v>محكمة بني سويف الابتدائية</v>
      </c>
      <c r="O50" s="18" t="s">
        <v>224</v>
      </c>
      <c r="P50" s="17" t="s">
        <v>225</v>
      </c>
      <c r="Q50" s="17">
        <v>230184</v>
      </c>
      <c r="R50" s="18" t="s">
        <v>595</v>
      </c>
      <c r="S50" s="17" t="s">
        <v>549</v>
      </c>
      <c r="T50" s="17" t="s">
        <v>542</v>
      </c>
      <c r="U50" s="17">
        <v>62</v>
      </c>
      <c r="V50" s="18" t="str">
        <f t="shared" si="3"/>
        <v>الدائرة السادسة مدني كلي</v>
      </c>
      <c r="W50" s="17" t="s">
        <v>60</v>
      </c>
      <c r="X50" s="17" t="s">
        <v>550</v>
      </c>
      <c r="Y50" s="17" t="s">
        <v>137</v>
      </c>
      <c r="Z50" s="18" t="s">
        <v>544</v>
      </c>
      <c r="AI50" s="18" t="s">
        <v>112</v>
      </c>
      <c r="AJ50" s="17" t="s">
        <v>174</v>
      </c>
    </row>
    <row r="51" spans="1:36" x14ac:dyDescent="0.3">
      <c r="A51" s="17">
        <v>95</v>
      </c>
      <c r="B51" s="18" t="s">
        <v>168</v>
      </c>
      <c r="C51" s="18" t="s">
        <v>31</v>
      </c>
      <c r="D51" s="17" t="s">
        <v>63</v>
      </c>
      <c r="E51" s="17" t="s">
        <v>140</v>
      </c>
      <c r="F51" s="18" t="str">
        <f t="shared" si="0"/>
        <v>الدائرة الأولى أسرة</v>
      </c>
      <c r="G51" s="17">
        <v>65</v>
      </c>
      <c r="H51" s="17" t="s">
        <v>61</v>
      </c>
      <c r="I51" s="17">
        <v>200359</v>
      </c>
      <c r="J51" s="18" t="s">
        <v>226</v>
      </c>
      <c r="K51" s="18" t="s">
        <v>89</v>
      </c>
      <c r="L51" s="17" t="s">
        <v>132</v>
      </c>
      <c r="M51" s="17">
        <v>22</v>
      </c>
      <c r="N51" s="18" t="str">
        <f t="shared" si="1"/>
        <v>محكمة بني سويف الابتدائية</v>
      </c>
      <c r="O51" s="18" t="s">
        <v>227</v>
      </c>
      <c r="P51" s="17" t="s">
        <v>228</v>
      </c>
      <c r="Q51" s="17">
        <v>21</v>
      </c>
      <c r="R51" s="18" t="s">
        <v>596</v>
      </c>
      <c r="S51" s="17" t="s">
        <v>541</v>
      </c>
      <c r="T51" s="17" t="s">
        <v>542</v>
      </c>
      <c r="U51" s="17">
        <v>63</v>
      </c>
      <c r="V51" s="18" t="str">
        <f t="shared" si="3"/>
        <v>الدائرة السابعة مدني كلي ومستأنف</v>
      </c>
      <c r="W51" s="17" t="s">
        <v>60</v>
      </c>
      <c r="X51" s="17" t="s">
        <v>543</v>
      </c>
      <c r="Y51" s="17" t="s">
        <v>137</v>
      </c>
      <c r="Z51" s="18" t="s">
        <v>544</v>
      </c>
      <c r="AI51" s="18" t="s">
        <v>113</v>
      </c>
      <c r="AJ51" s="17" t="s">
        <v>174</v>
      </c>
    </row>
    <row r="52" spans="1:36" x14ac:dyDescent="0.3">
      <c r="A52" s="17">
        <v>96</v>
      </c>
      <c r="B52" s="18" t="s">
        <v>169</v>
      </c>
      <c r="C52" s="18" t="s">
        <v>31</v>
      </c>
      <c r="D52" s="17" t="s">
        <v>63</v>
      </c>
      <c r="E52" s="17" t="s">
        <v>140</v>
      </c>
      <c r="F52" s="18" t="str">
        <f t="shared" si="0"/>
        <v>الدائرة الأولى أسرة</v>
      </c>
      <c r="G52" s="17">
        <v>65</v>
      </c>
      <c r="H52" s="17" t="s">
        <v>61</v>
      </c>
      <c r="I52" s="17">
        <v>200360</v>
      </c>
      <c r="J52" s="18" t="s">
        <v>229</v>
      </c>
      <c r="K52" s="18" t="s">
        <v>89</v>
      </c>
      <c r="L52" s="17" t="s">
        <v>133</v>
      </c>
      <c r="M52" s="17">
        <v>38</v>
      </c>
      <c r="N52" s="18" t="str">
        <f t="shared" si="1"/>
        <v>محكمة بني سويف الابتدائية</v>
      </c>
      <c r="O52" s="18" t="s">
        <v>224</v>
      </c>
      <c r="P52" s="17" t="s">
        <v>225</v>
      </c>
      <c r="Q52" s="17">
        <v>23</v>
      </c>
      <c r="R52" s="18" t="s">
        <v>597</v>
      </c>
      <c r="S52" s="17" t="s">
        <v>546</v>
      </c>
      <c r="T52" s="17" t="s">
        <v>542</v>
      </c>
      <c r="U52" s="17">
        <v>63</v>
      </c>
      <c r="V52" s="18" t="str">
        <f t="shared" si="3"/>
        <v>الدائرة السابعة مدني كلي ومستأنف</v>
      </c>
      <c r="W52" s="17" t="s">
        <v>60</v>
      </c>
      <c r="X52" s="17" t="s">
        <v>547</v>
      </c>
      <c r="Y52" s="17" t="s">
        <v>137</v>
      </c>
      <c r="Z52" s="18" t="s">
        <v>544</v>
      </c>
      <c r="AI52" s="18" t="s">
        <v>114</v>
      </c>
      <c r="AJ52" s="17" t="s">
        <v>174</v>
      </c>
    </row>
    <row r="53" spans="1:36" x14ac:dyDescent="0.3">
      <c r="A53" s="17">
        <v>97</v>
      </c>
      <c r="B53" s="18" t="s">
        <v>170</v>
      </c>
      <c r="C53" s="18" t="s">
        <v>31</v>
      </c>
      <c r="D53" s="17" t="s">
        <v>63</v>
      </c>
      <c r="E53" s="17" t="s">
        <v>140</v>
      </c>
      <c r="F53" s="18" t="str">
        <f t="shared" si="0"/>
        <v>الدائرة الثانية أسرة</v>
      </c>
      <c r="G53" s="17">
        <v>66</v>
      </c>
      <c r="H53" s="17" t="s">
        <v>61</v>
      </c>
      <c r="I53" s="17">
        <v>200361</v>
      </c>
      <c r="J53" s="18" t="s">
        <v>230</v>
      </c>
      <c r="K53" s="18" t="s">
        <v>89</v>
      </c>
      <c r="L53" s="17" t="s">
        <v>134</v>
      </c>
      <c r="M53" s="17">
        <v>54</v>
      </c>
      <c r="N53" s="18" t="str">
        <f t="shared" si="1"/>
        <v>محكمة بني سويف الابتدائية</v>
      </c>
      <c r="O53" s="18" t="s">
        <v>227</v>
      </c>
      <c r="P53" s="17" t="s">
        <v>228</v>
      </c>
      <c r="Q53" s="17">
        <v>230185</v>
      </c>
      <c r="R53" s="18" t="s">
        <v>598</v>
      </c>
      <c r="S53" s="17" t="s">
        <v>549</v>
      </c>
      <c r="T53" s="17" t="s">
        <v>542</v>
      </c>
      <c r="U53" s="17">
        <v>63</v>
      </c>
      <c r="V53" s="18" t="str">
        <f t="shared" si="3"/>
        <v>الدائرة السابعة مدني كلي ومستأنف</v>
      </c>
      <c r="W53" s="17" t="s">
        <v>60</v>
      </c>
      <c r="X53" s="17" t="s">
        <v>550</v>
      </c>
      <c r="Y53" s="17" t="s">
        <v>137</v>
      </c>
      <c r="Z53" s="18" t="s">
        <v>544</v>
      </c>
      <c r="AI53" s="18" t="s">
        <v>115</v>
      </c>
      <c r="AJ53" s="17" t="s">
        <v>174</v>
      </c>
    </row>
    <row r="54" spans="1:36" x14ac:dyDescent="0.3">
      <c r="F54" s="18" t="str">
        <f t="shared" si="0"/>
        <v>الدائرة الثانية أسرة</v>
      </c>
      <c r="G54" s="17">
        <v>66</v>
      </c>
      <c r="H54" s="17" t="s">
        <v>61</v>
      </c>
      <c r="I54" s="17">
        <v>200362</v>
      </c>
      <c r="J54" s="18" t="s">
        <v>231</v>
      </c>
      <c r="K54" s="18" t="s">
        <v>89</v>
      </c>
      <c r="L54" s="17" t="s">
        <v>135</v>
      </c>
      <c r="M54" s="17">
        <v>70</v>
      </c>
      <c r="N54" s="18" t="str">
        <f t="shared" si="1"/>
        <v>محكمة بني سويف الابتدائية</v>
      </c>
      <c r="O54" s="18" t="s">
        <v>224</v>
      </c>
      <c r="P54" s="17" t="s">
        <v>225</v>
      </c>
      <c r="Q54" s="17">
        <v>230186</v>
      </c>
      <c r="R54" s="18" t="s">
        <v>599</v>
      </c>
      <c r="S54" s="17" t="s">
        <v>541</v>
      </c>
      <c r="T54" s="17" t="s">
        <v>542</v>
      </c>
      <c r="U54" s="17">
        <v>64</v>
      </c>
      <c r="V54" s="18" t="str">
        <f t="shared" si="3"/>
        <v>الدائرة الثامنة مدني مستأنف</v>
      </c>
      <c r="W54" s="17" t="s">
        <v>60</v>
      </c>
      <c r="X54" s="17" t="s">
        <v>543</v>
      </c>
      <c r="Y54" s="17" t="s">
        <v>137</v>
      </c>
      <c r="Z54" s="18" t="s">
        <v>544</v>
      </c>
      <c r="AI54" s="18" t="s">
        <v>116</v>
      </c>
      <c r="AJ54" s="17" t="s">
        <v>174</v>
      </c>
    </row>
    <row r="55" spans="1:36" x14ac:dyDescent="0.3">
      <c r="F55" s="18" t="str">
        <f t="shared" si="0"/>
        <v>الدائرة الثانية أسرة</v>
      </c>
      <c r="G55" s="17">
        <v>66</v>
      </c>
      <c r="H55" s="17" t="s">
        <v>61</v>
      </c>
      <c r="I55" s="17">
        <v>200363</v>
      </c>
      <c r="J55" s="18" t="s">
        <v>232</v>
      </c>
      <c r="K55" s="18" t="s">
        <v>89</v>
      </c>
      <c r="L55" s="17" t="s">
        <v>136</v>
      </c>
      <c r="M55" s="17">
        <v>86</v>
      </c>
      <c r="N55" s="18" t="str">
        <f t="shared" si="1"/>
        <v>محكمة بني سويف الابتدائية</v>
      </c>
      <c r="O55" s="18" t="s">
        <v>227</v>
      </c>
      <c r="P55" s="17" t="s">
        <v>228</v>
      </c>
      <c r="Q55" s="17">
        <v>230187</v>
      </c>
      <c r="R55" s="18" t="s">
        <v>600</v>
      </c>
      <c r="S55" s="17" t="s">
        <v>546</v>
      </c>
      <c r="T55" s="17" t="s">
        <v>542</v>
      </c>
      <c r="U55" s="17">
        <v>64</v>
      </c>
      <c r="V55" s="18" t="str">
        <f t="shared" si="3"/>
        <v>الدائرة الثامنة مدني مستأنف</v>
      </c>
      <c r="W55" s="17" t="s">
        <v>60</v>
      </c>
      <c r="X55" s="17" t="s">
        <v>547</v>
      </c>
      <c r="Y55" s="17" t="s">
        <v>137</v>
      </c>
      <c r="Z55" s="18" t="s">
        <v>544</v>
      </c>
      <c r="AI55" s="18" t="s">
        <v>117</v>
      </c>
      <c r="AJ55" s="17" t="s">
        <v>174</v>
      </c>
    </row>
    <row r="56" spans="1:36" x14ac:dyDescent="0.3">
      <c r="F56" s="18" t="str">
        <f t="shared" si="0"/>
        <v>الدائرة الثالثة أسرة</v>
      </c>
      <c r="G56" s="17">
        <v>67</v>
      </c>
      <c r="H56" s="17" t="s">
        <v>61</v>
      </c>
      <c r="I56" s="17">
        <v>200364</v>
      </c>
      <c r="J56" s="18" t="s">
        <v>233</v>
      </c>
      <c r="K56" s="18" t="s">
        <v>89</v>
      </c>
      <c r="L56" s="17" t="s">
        <v>131</v>
      </c>
      <c r="M56" s="17">
        <v>102</v>
      </c>
      <c r="N56" s="18" t="str">
        <f t="shared" si="1"/>
        <v>محكمة بني سويف الابتدائية</v>
      </c>
      <c r="O56" s="18" t="s">
        <v>224</v>
      </c>
      <c r="P56" s="17" t="s">
        <v>225</v>
      </c>
      <c r="Q56" s="17">
        <v>27</v>
      </c>
      <c r="R56" s="18" t="s">
        <v>601</v>
      </c>
      <c r="S56" s="17" t="s">
        <v>549</v>
      </c>
      <c r="T56" s="17" t="s">
        <v>542</v>
      </c>
      <c r="U56" s="17">
        <v>64</v>
      </c>
      <c r="V56" s="18" t="str">
        <f t="shared" si="3"/>
        <v>الدائرة الثامنة مدني مستأنف</v>
      </c>
      <c r="W56" s="17" t="s">
        <v>60</v>
      </c>
      <c r="X56" s="17" t="s">
        <v>550</v>
      </c>
      <c r="Y56" s="17" t="s">
        <v>137</v>
      </c>
      <c r="Z56" s="18" t="s">
        <v>544</v>
      </c>
      <c r="AI56" s="18" t="s">
        <v>118</v>
      </c>
      <c r="AJ56" s="17" t="s">
        <v>174</v>
      </c>
    </row>
    <row r="57" spans="1:36" x14ac:dyDescent="0.3">
      <c r="F57" s="18" t="str">
        <f t="shared" si="0"/>
        <v>الدائرة الثالثة أسرة</v>
      </c>
      <c r="G57" s="17">
        <v>67</v>
      </c>
      <c r="H57" s="17" t="s">
        <v>61</v>
      </c>
      <c r="I57" s="17">
        <v>200365</v>
      </c>
      <c r="J57" s="18" t="s">
        <v>234</v>
      </c>
      <c r="K57" s="18" t="s">
        <v>89</v>
      </c>
      <c r="L57" s="17" t="s">
        <v>132</v>
      </c>
      <c r="M57" s="17">
        <v>118</v>
      </c>
      <c r="N57" s="18" t="str">
        <f t="shared" si="1"/>
        <v>محكمة بني سويف الابتدائية</v>
      </c>
      <c r="O57" s="18" t="s">
        <v>227</v>
      </c>
      <c r="P57" s="17" t="s">
        <v>228</v>
      </c>
      <c r="Q57" s="17">
        <v>29</v>
      </c>
      <c r="R57" s="18" t="s">
        <v>602</v>
      </c>
      <c r="S57" s="17" t="s">
        <v>541</v>
      </c>
      <c r="T57" s="17" t="s">
        <v>542</v>
      </c>
      <c r="U57" s="17">
        <v>65</v>
      </c>
      <c r="V57" s="18" t="str">
        <f t="shared" si="3"/>
        <v>الدائرة الأولى أسرة</v>
      </c>
      <c r="W57" s="17" t="s">
        <v>61</v>
      </c>
      <c r="X57" s="17" t="s">
        <v>543</v>
      </c>
      <c r="Y57" s="17" t="s">
        <v>137</v>
      </c>
      <c r="Z57" s="18" t="s">
        <v>544</v>
      </c>
      <c r="AI57" s="18" t="s">
        <v>119</v>
      </c>
      <c r="AJ57" s="17" t="s">
        <v>174</v>
      </c>
    </row>
    <row r="58" spans="1:36" x14ac:dyDescent="0.3">
      <c r="F58" s="18" t="str">
        <f t="shared" si="0"/>
        <v>الدائرة الثالثة أسرة</v>
      </c>
      <c r="G58" s="17">
        <v>67</v>
      </c>
      <c r="H58" s="17" t="s">
        <v>61</v>
      </c>
      <c r="I58" s="17">
        <v>200366</v>
      </c>
      <c r="J58" s="18" t="s">
        <v>235</v>
      </c>
      <c r="K58" s="18" t="s">
        <v>89</v>
      </c>
      <c r="L58" s="17" t="s">
        <v>133</v>
      </c>
      <c r="M58" s="17">
        <v>134</v>
      </c>
      <c r="N58" s="18" t="str">
        <f t="shared" si="1"/>
        <v>محكمة بني سويف الابتدائية</v>
      </c>
      <c r="O58" s="18" t="s">
        <v>224</v>
      </c>
      <c r="P58" s="17" t="s">
        <v>225</v>
      </c>
      <c r="Q58" s="17">
        <v>230188</v>
      </c>
      <c r="R58" s="18" t="s">
        <v>603</v>
      </c>
      <c r="S58" s="17" t="s">
        <v>546</v>
      </c>
      <c r="T58" s="17" t="s">
        <v>542</v>
      </c>
      <c r="U58" s="17">
        <v>65</v>
      </c>
      <c r="V58" s="18" t="str">
        <f t="shared" si="3"/>
        <v>الدائرة الأولى أسرة</v>
      </c>
      <c r="W58" s="17" t="s">
        <v>61</v>
      </c>
      <c r="X58" s="17" t="s">
        <v>547</v>
      </c>
      <c r="Y58" s="17" t="s">
        <v>137</v>
      </c>
      <c r="Z58" s="18" t="s">
        <v>544</v>
      </c>
      <c r="AI58" s="18" t="s">
        <v>120</v>
      </c>
      <c r="AJ58" s="17" t="s">
        <v>174</v>
      </c>
    </row>
    <row r="59" spans="1:36" x14ac:dyDescent="0.3">
      <c r="F59" s="18" t="str">
        <f t="shared" si="0"/>
        <v>الدائرة الرابعة أسرة</v>
      </c>
      <c r="G59" s="17">
        <v>68</v>
      </c>
      <c r="H59" s="17" t="s">
        <v>61</v>
      </c>
      <c r="I59" s="17">
        <v>200367</v>
      </c>
      <c r="J59" s="18" t="s">
        <v>236</v>
      </c>
      <c r="K59" s="18" t="s">
        <v>89</v>
      </c>
      <c r="L59" s="17" t="s">
        <v>131</v>
      </c>
      <c r="M59" s="17">
        <v>150</v>
      </c>
      <c r="N59" s="18" t="str">
        <f t="shared" si="1"/>
        <v>محكمة بني سويف الابتدائية</v>
      </c>
      <c r="O59" s="18" t="s">
        <v>227</v>
      </c>
      <c r="P59" s="17" t="s">
        <v>228</v>
      </c>
      <c r="Q59" s="17">
        <v>230189</v>
      </c>
      <c r="R59" s="18" t="s">
        <v>604</v>
      </c>
      <c r="S59" s="17" t="s">
        <v>549</v>
      </c>
      <c r="T59" s="17" t="s">
        <v>542</v>
      </c>
      <c r="U59" s="17">
        <v>65</v>
      </c>
      <c r="V59" s="18" t="str">
        <f t="shared" si="3"/>
        <v>الدائرة الأولى أسرة</v>
      </c>
      <c r="W59" s="17" t="s">
        <v>61</v>
      </c>
      <c r="X59" s="17" t="s">
        <v>550</v>
      </c>
      <c r="Y59" s="17" t="s">
        <v>137</v>
      </c>
      <c r="Z59" s="18" t="s">
        <v>544</v>
      </c>
      <c r="AI59" s="18" t="s">
        <v>121</v>
      </c>
      <c r="AJ59" s="17" t="s">
        <v>174</v>
      </c>
    </row>
    <row r="60" spans="1:36" x14ac:dyDescent="0.3">
      <c r="F60" s="18" t="str">
        <f t="shared" si="0"/>
        <v>الدائرة الرابعة أسرة</v>
      </c>
      <c r="G60" s="17">
        <v>68</v>
      </c>
      <c r="H60" s="17" t="s">
        <v>61</v>
      </c>
      <c r="I60" s="17">
        <v>200368</v>
      </c>
      <c r="J60" s="18" t="s">
        <v>237</v>
      </c>
      <c r="K60" s="18" t="s">
        <v>89</v>
      </c>
      <c r="L60" s="17" t="s">
        <v>132</v>
      </c>
      <c r="M60" s="17">
        <v>166</v>
      </c>
      <c r="N60" s="18" t="str">
        <f t="shared" si="1"/>
        <v>محكمة بني سويف الابتدائية</v>
      </c>
      <c r="O60" s="18" t="s">
        <v>224</v>
      </c>
      <c r="P60" s="17" t="s">
        <v>225</v>
      </c>
      <c r="Q60" s="17">
        <v>230190</v>
      </c>
      <c r="R60" s="18" t="s">
        <v>605</v>
      </c>
      <c r="S60" s="17" t="s">
        <v>541</v>
      </c>
      <c r="T60" s="17" t="s">
        <v>542</v>
      </c>
      <c r="U60" s="17">
        <v>66</v>
      </c>
      <c r="V60" s="18" t="str">
        <f t="shared" si="3"/>
        <v>الدائرة الثانية أسرة</v>
      </c>
      <c r="W60" s="17" t="s">
        <v>61</v>
      </c>
      <c r="X60" s="17" t="s">
        <v>543</v>
      </c>
      <c r="Y60" s="17" t="s">
        <v>137</v>
      </c>
      <c r="Z60" s="18" t="s">
        <v>544</v>
      </c>
      <c r="AI60" s="18" t="s">
        <v>122</v>
      </c>
      <c r="AJ60" s="17" t="s">
        <v>174</v>
      </c>
    </row>
    <row r="61" spans="1:36" x14ac:dyDescent="0.3">
      <c r="F61" s="18" t="str">
        <f t="shared" si="0"/>
        <v>الدائرة الرابعة أسرة</v>
      </c>
      <c r="G61" s="17">
        <v>68</v>
      </c>
      <c r="H61" s="17" t="s">
        <v>61</v>
      </c>
      <c r="I61" s="17">
        <v>200369</v>
      </c>
      <c r="J61" s="18" t="s">
        <v>238</v>
      </c>
      <c r="K61" s="18" t="s">
        <v>89</v>
      </c>
      <c r="L61" s="17" t="s">
        <v>133</v>
      </c>
      <c r="M61" s="17">
        <v>182</v>
      </c>
      <c r="N61" s="18" t="str">
        <f t="shared" si="1"/>
        <v>محكمة بني سويف الابتدائية</v>
      </c>
      <c r="O61" s="18" t="s">
        <v>227</v>
      </c>
      <c r="P61" s="17" t="s">
        <v>228</v>
      </c>
      <c r="Q61" s="17">
        <v>33</v>
      </c>
      <c r="R61" s="18" t="s">
        <v>606</v>
      </c>
      <c r="S61" s="17" t="s">
        <v>546</v>
      </c>
      <c r="T61" s="17" t="s">
        <v>542</v>
      </c>
      <c r="U61" s="17">
        <v>66</v>
      </c>
      <c r="V61" s="18" t="str">
        <f t="shared" si="3"/>
        <v>الدائرة الثانية أسرة</v>
      </c>
      <c r="W61" s="17" t="s">
        <v>61</v>
      </c>
      <c r="X61" s="17" t="s">
        <v>547</v>
      </c>
      <c r="Y61" s="17" t="s">
        <v>137</v>
      </c>
      <c r="Z61" s="18" t="s">
        <v>544</v>
      </c>
      <c r="AI61" s="18" t="s">
        <v>123</v>
      </c>
      <c r="AJ61" s="17" t="s">
        <v>174</v>
      </c>
    </row>
    <row r="62" spans="1:36" x14ac:dyDescent="0.3">
      <c r="F62" s="18" t="str">
        <f t="shared" si="0"/>
        <v>الدائرة الخامسة أسرة</v>
      </c>
      <c r="G62" s="17">
        <v>69</v>
      </c>
      <c r="H62" s="17" t="s">
        <v>61</v>
      </c>
      <c r="I62" s="17">
        <v>200370</v>
      </c>
      <c r="J62" s="18" t="s">
        <v>239</v>
      </c>
      <c r="K62" s="18" t="s">
        <v>89</v>
      </c>
      <c r="L62" s="17" t="s">
        <v>134</v>
      </c>
      <c r="M62" s="17">
        <v>198</v>
      </c>
      <c r="N62" s="18" t="str">
        <f t="shared" si="1"/>
        <v>محكمة بني سويف الابتدائية</v>
      </c>
      <c r="O62" s="18" t="s">
        <v>224</v>
      </c>
      <c r="P62" s="17" t="s">
        <v>225</v>
      </c>
      <c r="Q62" s="17">
        <v>230191</v>
      </c>
      <c r="R62" s="18" t="s">
        <v>607</v>
      </c>
      <c r="S62" s="17" t="s">
        <v>549</v>
      </c>
      <c r="T62" s="17" t="s">
        <v>542</v>
      </c>
      <c r="U62" s="17">
        <v>66</v>
      </c>
      <c r="V62" s="18" t="str">
        <f t="shared" si="3"/>
        <v>الدائرة الثانية أسرة</v>
      </c>
      <c r="W62" s="17" t="s">
        <v>61</v>
      </c>
      <c r="X62" s="17" t="s">
        <v>550</v>
      </c>
      <c r="Y62" s="17" t="s">
        <v>137</v>
      </c>
      <c r="Z62" s="18" t="s">
        <v>544</v>
      </c>
      <c r="AI62" s="18" t="s">
        <v>124</v>
      </c>
      <c r="AJ62" s="17" t="s">
        <v>174</v>
      </c>
    </row>
    <row r="63" spans="1:36" x14ac:dyDescent="0.3">
      <c r="F63" s="18" t="str">
        <f t="shared" si="0"/>
        <v>الدائرة الخامسة أسرة</v>
      </c>
      <c r="G63" s="17">
        <v>69</v>
      </c>
      <c r="H63" s="17" t="s">
        <v>61</v>
      </c>
      <c r="I63" s="17">
        <v>200371</v>
      </c>
      <c r="J63" s="18" t="s">
        <v>240</v>
      </c>
      <c r="K63" s="18" t="s">
        <v>89</v>
      </c>
      <c r="L63" s="17" t="s">
        <v>135</v>
      </c>
      <c r="M63" s="17">
        <v>214</v>
      </c>
      <c r="N63" s="18" t="str">
        <f t="shared" si="1"/>
        <v>محكمة بني سويف الابتدائية</v>
      </c>
      <c r="O63" s="18" t="s">
        <v>227</v>
      </c>
      <c r="P63" s="17" t="s">
        <v>228</v>
      </c>
      <c r="Q63" s="17">
        <v>230192</v>
      </c>
      <c r="R63" s="18" t="s">
        <v>608</v>
      </c>
      <c r="S63" s="17" t="s">
        <v>541</v>
      </c>
      <c r="T63" s="17" t="s">
        <v>542</v>
      </c>
      <c r="U63" s="17">
        <v>67</v>
      </c>
      <c r="V63" s="18" t="str">
        <f t="shared" si="3"/>
        <v>الدائرة الثالثة أسرة</v>
      </c>
      <c r="W63" s="17" t="s">
        <v>61</v>
      </c>
      <c r="X63" s="17" t="s">
        <v>543</v>
      </c>
      <c r="Y63" s="17" t="s">
        <v>137</v>
      </c>
      <c r="Z63" s="18" t="s">
        <v>544</v>
      </c>
      <c r="AI63" s="18" t="s">
        <v>125</v>
      </c>
      <c r="AJ63" s="17" t="s">
        <v>174</v>
      </c>
    </row>
    <row r="64" spans="1:36" x14ac:dyDescent="0.3">
      <c r="F64" s="18" t="str">
        <f t="shared" si="0"/>
        <v>الدائرة الخامسة أسرة</v>
      </c>
      <c r="G64" s="17">
        <v>69</v>
      </c>
      <c r="H64" s="17" t="s">
        <v>61</v>
      </c>
      <c r="I64" s="17">
        <v>200372</v>
      </c>
      <c r="J64" s="18" t="s">
        <v>241</v>
      </c>
      <c r="K64" s="18" t="s">
        <v>89</v>
      </c>
      <c r="L64" s="17" t="s">
        <v>136</v>
      </c>
      <c r="M64" s="17">
        <v>230</v>
      </c>
      <c r="N64" s="18" t="str">
        <f t="shared" si="1"/>
        <v>محكمة بني سويف الابتدائية</v>
      </c>
      <c r="O64" s="18" t="s">
        <v>224</v>
      </c>
      <c r="P64" s="17" t="s">
        <v>225</v>
      </c>
      <c r="Q64" s="17">
        <v>84</v>
      </c>
      <c r="R64" s="18" t="s">
        <v>609</v>
      </c>
      <c r="S64" s="17" t="s">
        <v>546</v>
      </c>
      <c r="T64" s="17" t="s">
        <v>542</v>
      </c>
      <c r="U64" s="17">
        <v>67</v>
      </c>
      <c r="V64" s="18" t="str">
        <f t="shared" si="3"/>
        <v>الدائرة الثالثة أسرة</v>
      </c>
      <c r="W64" s="17" t="s">
        <v>61</v>
      </c>
      <c r="X64" s="17" t="s">
        <v>547</v>
      </c>
      <c r="Y64" s="17" t="s">
        <v>137</v>
      </c>
      <c r="Z64" s="18" t="s">
        <v>544</v>
      </c>
      <c r="AI64" s="18" t="s">
        <v>126</v>
      </c>
      <c r="AJ64" s="17" t="s">
        <v>174</v>
      </c>
    </row>
    <row r="65" spans="6:36" x14ac:dyDescent="0.3">
      <c r="F65" s="18" t="str">
        <f t="shared" si="0"/>
        <v>الدائرة السادسة أسرة</v>
      </c>
      <c r="G65" s="17">
        <v>70</v>
      </c>
      <c r="H65" s="17" t="s">
        <v>61</v>
      </c>
      <c r="I65" s="17">
        <v>200373</v>
      </c>
      <c r="J65" s="18" t="s">
        <v>242</v>
      </c>
      <c r="K65" s="18" t="s">
        <v>89</v>
      </c>
      <c r="L65" s="17" t="s">
        <v>131</v>
      </c>
      <c r="M65" s="17">
        <v>246</v>
      </c>
      <c r="N65" s="18" t="str">
        <f t="shared" si="1"/>
        <v>محكمة بني سويف الابتدائية</v>
      </c>
      <c r="O65" s="18" t="s">
        <v>227</v>
      </c>
      <c r="P65" s="17" t="s">
        <v>228</v>
      </c>
      <c r="Q65" s="17">
        <v>230193</v>
      </c>
      <c r="R65" s="18" t="s">
        <v>610</v>
      </c>
      <c r="S65" s="17" t="s">
        <v>549</v>
      </c>
      <c r="T65" s="17" t="s">
        <v>542</v>
      </c>
      <c r="U65" s="17">
        <v>67</v>
      </c>
      <c r="V65" s="18" t="str">
        <f t="shared" si="3"/>
        <v>الدائرة الثالثة أسرة</v>
      </c>
      <c r="W65" s="17" t="s">
        <v>61</v>
      </c>
      <c r="X65" s="17" t="s">
        <v>550</v>
      </c>
      <c r="Y65" s="17" t="s">
        <v>137</v>
      </c>
      <c r="Z65" s="18" t="s">
        <v>544</v>
      </c>
      <c r="AI65" s="18" t="s">
        <v>127</v>
      </c>
      <c r="AJ65" s="17" t="s">
        <v>174</v>
      </c>
    </row>
    <row r="66" spans="6:36" x14ac:dyDescent="0.3">
      <c r="F66" s="18" t="str">
        <f t="shared" si="0"/>
        <v>الدائرة السادسة أسرة</v>
      </c>
      <c r="G66" s="17">
        <v>70</v>
      </c>
      <c r="H66" s="17" t="s">
        <v>61</v>
      </c>
      <c r="I66" s="17">
        <v>200374</v>
      </c>
      <c r="J66" s="18" t="s">
        <v>243</v>
      </c>
      <c r="K66" s="18" t="s">
        <v>89</v>
      </c>
      <c r="L66" s="17" t="s">
        <v>132</v>
      </c>
      <c r="M66" s="17">
        <v>262</v>
      </c>
      <c r="N66" s="18" t="str">
        <f t="shared" si="1"/>
        <v>محكمة بني سويف الابتدائية</v>
      </c>
      <c r="O66" s="18" t="s">
        <v>224</v>
      </c>
      <c r="P66" s="17" t="s">
        <v>225</v>
      </c>
      <c r="Q66" s="17">
        <v>39</v>
      </c>
      <c r="R66" s="18" t="s">
        <v>611</v>
      </c>
      <c r="S66" s="17" t="s">
        <v>541</v>
      </c>
      <c r="T66" s="17" t="s">
        <v>542</v>
      </c>
      <c r="U66" s="17">
        <v>68</v>
      </c>
      <c r="V66" s="18" t="str">
        <f t="shared" si="3"/>
        <v>الدائرة الرابعة أسرة</v>
      </c>
      <c r="W66" s="17" t="s">
        <v>61</v>
      </c>
      <c r="X66" s="17" t="s">
        <v>543</v>
      </c>
      <c r="Y66" s="17" t="s">
        <v>137</v>
      </c>
      <c r="Z66" s="18" t="s">
        <v>544</v>
      </c>
      <c r="AI66" s="18" t="s">
        <v>128</v>
      </c>
      <c r="AJ66" s="17" t="s">
        <v>174</v>
      </c>
    </row>
    <row r="67" spans="6:36" x14ac:dyDescent="0.3">
      <c r="F67" s="18" t="str">
        <f t="shared" si="0"/>
        <v>الدائرة السادسة أسرة</v>
      </c>
      <c r="G67" s="17">
        <v>70</v>
      </c>
      <c r="H67" s="17" t="s">
        <v>61</v>
      </c>
      <c r="I67" s="17">
        <v>200375</v>
      </c>
      <c r="J67" s="18" t="s">
        <v>244</v>
      </c>
      <c r="K67" s="18" t="s">
        <v>89</v>
      </c>
      <c r="L67" s="17" t="s">
        <v>133</v>
      </c>
      <c r="M67" s="17">
        <v>278</v>
      </c>
      <c r="N67" s="18" t="str">
        <f t="shared" si="1"/>
        <v>محكمة بني سويف الابتدائية</v>
      </c>
      <c r="O67" s="18" t="s">
        <v>227</v>
      </c>
      <c r="P67" s="17" t="s">
        <v>228</v>
      </c>
      <c r="Q67" s="17">
        <v>230194</v>
      </c>
      <c r="R67" s="18" t="s">
        <v>612</v>
      </c>
      <c r="S67" s="17" t="s">
        <v>546</v>
      </c>
      <c r="T67" s="17" t="s">
        <v>542</v>
      </c>
      <c r="U67" s="17">
        <v>68</v>
      </c>
      <c r="V67" s="18" t="str">
        <f t="shared" si="3"/>
        <v>الدائرة الرابعة أسرة</v>
      </c>
      <c r="W67" s="17" t="s">
        <v>61</v>
      </c>
      <c r="X67" s="17" t="s">
        <v>547</v>
      </c>
      <c r="Y67" s="17" t="s">
        <v>137</v>
      </c>
      <c r="Z67" s="18" t="s">
        <v>544</v>
      </c>
      <c r="AI67" s="18" t="s">
        <v>129</v>
      </c>
      <c r="AJ67" s="17" t="s">
        <v>174</v>
      </c>
    </row>
    <row r="68" spans="6:36" x14ac:dyDescent="0.3">
      <c r="F68" s="18" t="str">
        <f t="shared" si="0"/>
        <v>الدائرة السابعة أسرة</v>
      </c>
      <c r="G68" s="17">
        <v>71</v>
      </c>
      <c r="H68" s="17" t="s">
        <v>61</v>
      </c>
      <c r="I68" s="17">
        <v>200376</v>
      </c>
      <c r="J68" s="18" t="s">
        <v>245</v>
      </c>
      <c r="K68" s="18" t="s">
        <v>89</v>
      </c>
      <c r="L68" s="17" t="s">
        <v>134</v>
      </c>
      <c r="M68" s="17">
        <v>294</v>
      </c>
      <c r="N68" s="18" t="str">
        <f t="shared" si="1"/>
        <v>محكمة بني سويف الابتدائية</v>
      </c>
      <c r="O68" s="18" t="s">
        <v>224</v>
      </c>
      <c r="P68" s="17" t="s">
        <v>225</v>
      </c>
      <c r="Q68" s="17">
        <v>230195</v>
      </c>
      <c r="R68" s="18" t="s">
        <v>613</v>
      </c>
      <c r="S68" s="17" t="s">
        <v>549</v>
      </c>
      <c r="T68" s="17" t="s">
        <v>542</v>
      </c>
      <c r="U68" s="17">
        <v>68</v>
      </c>
      <c r="V68" s="18" t="str">
        <f t="shared" si="3"/>
        <v>الدائرة الرابعة أسرة</v>
      </c>
      <c r="W68" s="17" t="s">
        <v>61</v>
      </c>
      <c r="X68" s="17" t="s">
        <v>550</v>
      </c>
      <c r="Y68" s="17" t="s">
        <v>137</v>
      </c>
      <c r="Z68" s="18" t="s">
        <v>544</v>
      </c>
      <c r="AI68" s="18" t="s">
        <v>130</v>
      </c>
      <c r="AJ68" s="17" t="s">
        <v>174</v>
      </c>
    </row>
    <row r="69" spans="6:36" x14ac:dyDescent="0.3">
      <c r="F69" s="18" t="str">
        <f t="shared" ref="F69:F132" si="4">IFERROR(VLOOKUP(G69, $A$5:$B$53, 2, FALSE), "")</f>
        <v>الدائرة السابعة أسرة</v>
      </c>
      <c r="G69" s="17">
        <v>71</v>
      </c>
      <c r="H69" s="17" t="s">
        <v>61</v>
      </c>
      <c r="I69" s="17">
        <v>200377</v>
      </c>
      <c r="J69" s="18" t="s">
        <v>246</v>
      </c>
      <c r="K69" s="18" t="s">
        <v>89</v>
      </c>
      <c r="L69" s="17" t="s">
        <v>135</v>
      </c>
      <c r="M69" s="17">
        <v>310</v>
      </c>
      <c r="N69" s="18" t="str">
        <f t="shared" ref="N69:N132" si="5">IFERROR(VLOOKUP(G69, $A$5:$C$53, 3, FALSE), "")</f>
        <v>محكمة بني سويف الابتدائية</v>
      </c>
      <c r="O69" s="18" t="s">
        <v>227</v>
      </c>
      <c r="P69" s="17" t="s">
        <v>228</v>
      </c>
      <c r="Q69" s="17">
        <v>42</v>
      </c>
      <c r="R69" s="18" t="s">
        <v>614</v>
      </c>
      <c r="S69" s="17" t="s">
        <v>541</v>
      </c>
      <c r="T69" s="17" t="s">
        <v>542</v>
      </c>
      <c r="U69" s="17">
        <v>69</v>
      </c>
      <c r="V69" s="18" t="str">
        <f t="shared" ref="V69:V100" si="6">IFERROR(VLOOKUP(U69, $A$5:$B$53, 2, FALSE), "")</f>
        <v>الدائرة الخامسة أسرة</v>
      </c>
      <c r="W69" s="17" t="s">
        <v>61</v>
      </c>
      <c r="X69" s="17" t="s">
        <v>543</v>
      </c>
      <c r="Y69" s="17" t="s">
        <v>137</v>
      </c>
      <c r="Z69" s="18" t="s">
        <v>544</v>
      </c>
      <c r="AJ69" s="17" t="s">
        <v>174</v>
      </c>
    </row>
    <row r="70" spans="6:36" x14ac:dyDescent="0.3">
      <c r="F70" s="18" t="str">
        <f t="shared" si="4"/>
        <v>الدائرة السابعة أسرة</v>
      </c>
      <c r="G70" s="17">
        <v>71</v>
      </c>
      <c r="H70" s="17" t="s">
        <v>61</v>
      </c>
      <c r="I70" s="17">
        <v>200378</v>
      </c>
      <c r="J70" s="18" t="s">
        <v>247</v>
      </c>
      <c r="K70" s="18" t="s">
        <v>89</v>
      </c>
      <c r="L70" s="17" t="s">
        <v>136</v>
      </c>
      <c r="M70" s="17">
        <v>326</v>
      </c>
      <c r="N70" s="18" t="str">
        <f t="shared" si="5"/>
        <v>محكمة بني سويف الابتدائية</v>
      </c>
      <c r="O70" s="18" t="s">
        <v>224</v>
      </c>
      <c r="P70" s="17" t="s">
        <v>225</v>
      </c>
      <c r="Q70" s="17">
        <v>230196</v>
      </c>
      <c r="R70" s="18" t="s">
        <v>615</v>
      </c>
      <c r="S70" s="17" t="s">
        <v>546</v>
      </c>
      <c r="T70" s="17" t="s">
        <v>542</v>
      </c>
      <c r="U70" s="17">
        <v>69</v>
      </c>
      <c r="V70" s="18" t="str">
        <f t="shared" si="6"/>
        <v>الدائرة الخامسة أسرة</v>
      </c>
      <c r="W70" s="17" t="s">
        <v>61</v>
      </c>
      <c r="X70" s="17" t="s">
        <v>547</v>
      </c>
      <c r="Y70" s="17" t="s">
        <v>137</v>
      </c>
      <c r="Z70" s="18" t="s">
        <v>544</v>
      </c>
      <c r="AJ70" s="17" t="s">
        <v>174</v>
      </c>
    </row>
    <row r="71" spans="6:36" x14ac:dyDescent="0.3">
      <c r="F71" s="18" t="str">
        <f t="shared" si="4"/>
        <v>الدائرة الثامنة أسرة</v>
      </c>
      <c r="G71" s="17">
        <v>72</v>
      </c>
      <c r="H71" s="17" t="s">
        <v>61</v>
      </c>
      <c r="I71" s="17">
        <v>200379</v>
      </c>
      <c r="J71" s="18" t="s">
        <v>248</v>
      </c>
      <c r="K71" s="18" t="s">
        <v>89</v>
      </c>
      <c r="L71" s="17" t="s">
        <v>131</v>
      </c>
      <c r="M71" s="17">
        <v>342</v>
      </c>
      <c r="N71" s="18" t="str">
        <f t="shared" si="5"/>
        <v>محكمة بني سويف الابتدائية</v>
      </c>
      <c r="O71" s="18" t="s">
        <v>227</v>
      </c>
      <c r="P71" s="17" t="s">
        <v>228</v>
      </c>
      <c r="Q71" s="17">
        <v>230197</v>
      </c>
      <c r="R71" s="18" t="s">
        <v>616</v>
      </c>
      <c r="S71" s="17" t="s">
        <v>549</v>
      </c>
      <c r="T71" s="17" t="s">
        <v>542</v>
      </c>
      <c r="U71" s="17">
        <v>69</v>
      </c>
      <c r="V71" s="18" t="str">
        <f t="shared" si="6"/>
        <v>الدائرة الخامسة أسرة</v>
      </c>
      <c r="W71" s="17" t="s">
        <v>61</v>
      </c>
      <c r="X71" s="17" t="s">
        <v>550</v>
      </c>
      <c r="Y71" s="17" t="s">
        <v>137</v>
      </c>
      <c r="Z71" s="18" t="s">
        <v>544</v>
      </c>
      <c r="AJ71" s="17" t="s">
        <v>174</v>
      </c>
    </row>
    <row r="72" spans="6:36" x14ac:dyDescent="0.3">
      <c r="F72" s="18" t="str">
        <f t="shared" si="4"/>
        <v>الدائرة الثامنة أسرة</v>
      </c>
      <c r="G72" s="17">
        <v>72</v>
      </c>
      <c r="H72" s="17" t="s">
        <v>61</v>
      </c>
      <c r="I72" s="17">
        <v>200380</v>
      </c>
      <c r="J72" s="18" t="s">
        <v>249</v>
      </c>
      <c r="K72" s="18" t="s">
        <v>89</v>
      </c>
      <c r="L72" s="17" t="s">
        <v>132</v>
      </c>
      <c r="M72" s="17">
        <v>358</v>
      </c>
      <c r="N72" s="18" t="str">
        <f t="shared" si="5"/>
        <v>محكمة بني سويف الابتدائية</v>
      </c>
      <c r="O72" s="18" t="s">
        <v>224</v>
      </c>
      <c r="P72" s="17" t="s">
        <v>225</v>
      </c>
      <c r="Q72" s="17">
        <v>230198</v>
      </c>
      <c r="R72" s="18" t="s">
        <v>617</v>
      </c>
      <c r="S72" s="17" t="s">
        <v>541</v>
      </c>
      <c r="T72" s="17" t="s">
        <v>542</v>
      </c>
      <c r="U72" s="17">
        <v>70</v>
      </c>
      <c r="V72" s="18" t="str">
        <f t="shared" si="6"/>
        <v>الدائرة السادسة أسرة</v>
      </c>
      <c r="W72" s="17" t="s">
        <v>61</v>
      </c>
      <c r="X72" s="17" t="s">
        <v>543</v>
      </c>
      <c r="Y72" s="17" t="s">
        <v>137</v>
      </c>
      <c r="Z72" s="18" t="s">
        <v>544</v>
      </c>
      <c r="AJ72" s="17" t="s">
        <v>174</v>
      </c>
    </row>
    <row r="73" spans="6:36" x14ac:dyDescent="0.3">
      <c r="F73" s="18" t="str">
        <f t="shared" si="4"/>
        <v>الدائرة الثامنة أسرة</v>
      </c>
      <c r="G73" s="17">
        <v>72</v>
      </c>
      <c r="H73" s="17" t="s">
        <v>61</v>
      </c>
      <c r="I73" s="17">
        <v>200381</v>
      </c>
      <c r="J73" s="18" t="s">
        <v>250</v>
      </c>
      <c r="K73" s="18" t="s">
        <v>89</v>
      </c>
      <c r="L73" s="17" t="s">
        <v>133</v>
      </c>
      <c r="M73" s="17">
        <v>374</v>
      </c>
      <c r="N73" s="18" t="str">
        <f t="shared" si="5"/>
        <v>محكمة بني سويف الابتدائية</v>
      </c>
      <c r="O73" s="18" t="s">
        <v>227</v>
      </c>
      <c r="P73" s="17" t="s">
        <v>228</v>
      </c>
      <c r="Q73" s="17">
        <v>230199</v>
      </c>
      <c r="R73" s="18" t="s">
        <v>618</v>
      </c>
      <c r="S73" s="17" t="s">
        <v>546</v>
      </c>
      <c r="T73" s="17" t="s">
        <v>542</v>
      </c>
      <c r="U73" s="17">
        <v>70</v>
      </c>
      <c r="V73" s="18" t="str">
        <f t="shared" si="6"/>
        <v>الدائرة السادسة أسرة</v>
      </c>
      <c r="W73" s="17" t="s">
        <v>61</v>
      </c>
      <c r="X73" s="17" t="s">
        <v>547</v>
      </c>
      <c r="Y73" s="17" t="s">
        <v>137</v>
      </c>
      <c r="Z73" s="18" t="s">
        <v>544</v>
      </c>
      <c r="AJ73" s="17" t="s">
        <v>174</v>
      </c>
    </row>
    <row r="74" spans="6:36" x14ac:dyDescent="0.3">
      <c r="F74" s="18" t="str">
        <f t="shared" si="4"/>
        <v>الدائرة الأولى جنائي</v>
      </c>
      <c r="G74" s="17">
        <v>49</v>
      </c>
      <c r="H74" s="17" t="s">
        <v>62</v>
      </c>
      <c r="I74" s="17">
        <v>200216</v>
      </c>
      <c r="J74" s="18" t="s">
        <v>251</v>
      </c>
      <c r="K74" s="18" t="s">
        <v>80</v>
      </c>
      <c r="L74" s="17" t="s">
        <v>134</v>
      </c>
      <c r="M74" s="17">
        <v>12</v>
      </c>
      <c r="N74" s="18" t="str">
        <f t="shared" si="5"/>
        <v>محكمة بني سويف الابتدائية</v>
      </c>
      <c r="O74" s="18" t="s">
        <v>179</v>
      </c>
      <c r="P74" s="17" t="s">
        <v>180</v>
      </c>
      <c r="Q74" s="17">
        <v>230200</v>
      </c>
      <c r="R74" s="18" t="s">
        <v>619</v>
      </c>
      <c r="S74" s="17" t="s">
        <v>549</v>
      </c>
      <c r="T74" s="17" t="s">
        <v>542</v>
      </c>
      <c r="U74" s="17">
        <v>70</v>
      </c>
      <c r="V74" s="18" t="str">
        <f t="shared" si="6"/>
        <v>الدائرة السادسة أسرة</v>
      </c>
      <c r="W74" s="17" t="s">
        <v>61</v>
      </c>
      <c r="X74" s="17" t="s">
        <v>550</v>
      </c>
      <c r="Y74" s="17" t="s">
        <v>137</v>
      </c>
      <c r="Z74" s="18" t="s">
        <v>544</v>
      </c>
      <c r="AJ74" s="17" t="s">
        <v>174</v>
      </c>
    </row>
    <row r="75" spans="6:36" x14ac:dyDescent="0.3">
      <c r="F75" s="18" t="str">
        <f t="shared" si="4"/>
        <v>الدائرة الأولى جنائي</v>
      </c>
      <c r="G75" s="17">
        <v>49</v>
      </c>
      <c r="H75" s="17" t="s">
        <v>62</v>
      </c>
      <c r="I75" s="17">
        <v>200217</v>
      </c>
      <c r="J75" s="18" t="s">
        <v>252</v>
      </c>
      <c r="K75" s="18" t="s">
        <v>86</v>
      </c>
      <c r="L75" s="17" t="s">
        <v>134</v>
      </c>
      <c r="M75" s="17">
        <v>13</v>
      </c>
      <c r="N75" s="18" t="str">
        <f t="shared" si="5"/>
        <v>محكمة بني سويف الابتدائية</v>
      </c>
      <c r="O75" s="18" t="s">
        <v>172</v>
      </c>
      <c r="P75" s="17" t="s">
        <v>173</v>
      </c>
      <c r="Q75" s="17">
        <v>230201</v>
      </c>
      <c r="R75" s="18" t="s">
        <v>620</v>
      </c>
      <c r="S75" s="17" t="s">
        <v>541</v>
      </c>
      <c r="T75" s="17" t="s">
        <v>542</v>
      </c>
      <c r="U75" s="17">
        <v>71</v>
      </c>
      <c r="V75" s="18" t="str">
        <f t="shared" si="6"/>
        <v>الدائرة السابعة أسرة</v>
      </c>
      <c r="W75" s="17" t="s">
        <v>61</v>
      </c>
      <c r="X75" s="17" t="s">
        <v>543</v>
      </c>
      <c r="Y75" s="17" t="s">
        <v>137</v>
      </c>
      <c r="Z75" s="18" t="s">
        <v>544</v>
      </c>
      <c r="AJ75" s="17" t="s">
        <v>174</v>
      </c>
    </row>
    <row r="76" spans="6:36" x14ac:dyDescent="0.3">
      <c r="F76" s="18" t="str">
        <f t="shared" si="4"/>
        <v>الدائرة الأولى جنائي</v>
      </c>
      <c r="G76" s="17">
        <v>49</v>
      </c>
      <c r="H76" s="17" t="s">
        <v>62</v>
      </c>
      <c r="I76" s="17">
        <v>200218</v>
      </c>
      <c r="J76" s="18" t="s">
        <v>253</v>
      </c>
      <c r="K76" s="18" t="s">
        <v>83</v>
      </c>
      <c r="L76" s="17" t="s">
        <v>134</v>
      </c>
      <c r="M76" s="17">
        <v>14</v>
      </c>
      <c r="N76" s="18" t="str">
        <f t="shared" si="5"/>
        <v>محكمة بني سويف الابتدائية</v>
      </c>
      <c r="O76" s="18" t="s">
        <v>176</v>
      </c>
      <c r="P76" s="17" t="s">
        <v>177</v>
      </c>
      <c r="Q76" s="17">
        <v>230202</v>
      </c>
      <c r="R76" s="18" t="s">
        <v>621</v>
      </c>
      <c r="S76" s="17" t="s">
        <v>546</v>
      </c>
      <c r="T76" s="17" t="s">
        <v>542</v>
      </c>
      <c r="U76" s="17">
        <v>71</v>
      </c>
      <c r="V76" s="18" t="str">
        <f t="shared" si="6"/>
        <v>الدائرة السابعة أسرة</v>
      </c>
      <c r="W76" s="17" t="s">
        <v>61</v>
      </c>
      <c r="X76" s="17" t="s">
        <v>547</v>
      </c>
      <c r="Y76" s="17" t="s">
        <v>137</v>
      </c>
      <c r="Z76" s="18" t="s">
        <v>544</v>
      </c>
      <c r="AJ76" s="17" t="s">
        <v>254</v>
      </c>
    </row>
    <row r="77" spans="6:36" x14ac:dyDescent="0.3">
      <c r="F77" s="18" t="str">
        <f t="shared" si="4"/>
        <v>الدائرة الأولى جنائي</v>
      </c>
      <c r="G77" s="17">
        <v>49</v>
      </c>
      <c r="H77" s="17" t="s">
        <v>62</v>
      </c>
      <c r="I77" s="17">
        <v>200219</v>
      </c>
      <c r="J77" s="18" t="s">
        <v>255</v>
      </c>
      <c r="K77" s="18" t="s">
        <v>80</v>
      </c>
      <c r="L77" s="17" t="s">
        <v>135</v>
      </c>
      <c r="M77" s="17">
        <v>15</v>
      </c>
      <c r="N77" s="18" t="str">
        <f t="shared" si="5"/>
        <v>محكمة بني سويف الابتدائية</v>
      </c>
      <c r="O77" s="18" t="s">
        <v>179</v>
      </c>
      <c r="P77" s="17" t="s">
        <v>180</v>
      </c>
      <c r="Q77" s="17">
        <v>230203</v>
      </c>
      <c r="R77" s="18" t="s">
        <v>622</v>
      </c>
      <c r="S77" s="17" t="s">
        <v>549</v>
      </c>
      <c r="T77" s="17" t="s">
        <v>542</v>
      </c>
      <c r="U77" s="17">
        <v>71</v>
      </c>
      <c r="V77" s="18" t="str">
        <f t="shared" si="6"/>
        <v>الدائرة السابعة أسرة</v>
      </c>
      <c r="W77" s="17" t="s">
        <v>61</v>
      </c>
      <c r="X77" s="17" t="s">
        <v>550</v>
      </c>
      <c r="Y77" s="17" t="s">
        <v>137</v>
      </c>
      <c r="Z77" s="18" t="s">
        <v>544</v>
      </c>
      <c r="AJ77" s="17" t="s">
        <v>174</v>
      </c>
    </row>
    <row r="78" spans="6:36" x14ac:dyDescent="0.3">
      <c r="F78" s="18" t="str">
        <f t="shared" si="4"/>
        <v>الدائرة الأولى جنائي</v>
      </c>
      <c r="G78" s="17">
        <v>49</v>
      </c>
      <c r="H78" s="17" t="s">
        <v>62</v>
      </c>
      <c r="I78" s="17">
        <v>200220</v>
      </c>
      <c r="J78" s="18" t="s">
        <v>256</v>
      </c>
      <c r="K78" s="18" t="s">
        <v>84</v>
      </c>
      <c r="L78" s="17" t="s">
        <v>135</v>
      </c>
      <c r="M78" s="17">
        <v>16</v>
      </c>
      <c r="N78" s="18" t="str">
        <f t="shared" si="5"/>
        <v>محكمة بني سويف الابتدائية</v>
      </c>
      <c r="O78" s="18" t="s">
        <v>172</v>
      </c>
      <c r="P78" s="17" t="s">
        <v>173</v>
      </c>
      <c r="Q78" s="17">
        <v>230204</v>
      </c>
      <c r="R78" s="18" t="s">
        <v>623</v>
      </c>
      <c r="S78" s="17" t="s">
        <v>541</v>
      </c>
      <c r="T78" s="17" t="s">
        <v>542</v>
      </c>
      <c r="U78" s="17">
        <v>72</v>
      </c>
      <c r="V78" s="18" t="str">
        <f t="shared" si="6"/>
        <v>الدائرة الثامنة أسرة</v>
      </c>
      <c r="W78" s="17" t="s">
        <v>61</v>
      </c>
      <c r="X78" s="17" t="s">
        <v>543</v>
      </c>
      <c r="Y78" s="17" t="s">
        <v>137</v>
      </c>
      <c r="Z78" s="18" t="s">
        <v>544</v>
      </c>
      <c r="AJ78" s="17" t="s">
        <v>174</v>
      </c>
    </row>
    <row r="79" spans="6:36" x14ac:dyDescent="0.3">
      <c r="F79" s="18" t="str">
        <f t="shared" si="4"/>
        <v>الدائرة الأولى جنائي</v>
      </c>
      <c r="G79" s="17">
        <v>49</v>
      </c>
      <c r="H79" s="17" t="s">
        <v>62</v>
      </c>
      <c r="I79" s="17">
        <v>200221</v>
      </c>
      <c r="J79" s="18" t="s">
        <v>257</v>
      </c>
      <c r="K79" s="18" t="s">
        <v>80</v>
      </c>
      <c r="L79" s="17" t="s">
        <v>136</v>
      </c>
      <c r="M79" s="17">
        <v>17</v>
      </c>
      <c r="N79" s="18" t="str">
        <f t="shared" si="5"/>
        <v>محكمة بني سويف الابتدائية</v>
      </c>
      <c r="O79" s="18" t="s">
        <v>176</v>
      </c>
      <c r="P79" s="17" t="s">
        <v>177</v>
      </c>
      <c r="Q79" s="17">
        <v>230205</v>
      </c>
      <c r="R79" s="18" t="s">
        <v>624</v>
      </c>
      <c r="S79" s="17" t="s">
        <v>546</v>
      </c>
      <c r="T79" s="17" t="s">
        <v>542</v>
      </c>
      <c r="U79" s="17">
        <v>72</v>
      </c>
      <c r="V79" s="18" t="str">
        <f t="shared" si="6"/>
        <v>الدائرة الثامنة أسرة</v>
      </c>
      <c r="W79" s="17" t="s">
        <v>61</v>
      </c>
      <c r="X79" s="17" t="s">
        <v>547</v>
      </c>
      <c r="Y79" s="17" t="s">
        <v>137</v>
      </c>
      <c r="Z79" s="18" t="s">
        <v>544</v>
      </c>
      <c r="AJ79" s="17" t="s">
        <v>174</v>
      </c>
    </row>
    <row r="80" spans="6:36" x14ac:dyDescent="0.3">
      <c r="F80" s="18" t="str">
        <f t="shared" si="4"/>
        <v>الدائرة الأولى جنائي</v>
      </c>
      <c r="G80" s="17">
        <v>49</v>
      </c>
      <c r="H80" s="17" t="s">
        <v>62</v>
      </c>
      <c r="I80" s="17">
        <v>200222</v>
      </c>
      <c r="J80" s="18" t="s">
        <v>258</v>
      </c>
      <c r="K80" s="18" t="s">
        <v>70</v>
      </c>
      <c r="L80" s="17" t="s">
        <v>136</v>
      </c>
      <c r="M80" s="17">
        <v>18</v>
      </c>
      <c r="N80" s="18" t="str">
        <f t="shared" si="5"/>
        <v>محكمة بني سويف الابتدائية</v>
      </c>
      <c r="O80" s="18" t="s">
        <v>179</v>
      </c>
      <c r="P80" s="17" t="s">
        <v>180</v>
      </c>
      <c r="Q80" s="17">
        <v>7</v>
      </c>
      <c r="R80" s="18" t="s">
        <v>625</v>
      </c>
      <c r="S80" s="17" t="s">
        <v>549</v>
      </c>
      <c r="T80" s="17" t="s">
        <v>542</v>
      </c>
      <c r="U80" s="17">
        <v>72</v>
      </c>
      <c r="V80" s="18" t="str">
        <f t="shared" si="6"/>
        <v>الدائرة الثامنة أسرة</v>
      </c>
      <c r="W80" s="17" t="s">
        <v>61</v>
      </c>
      <c r="X80" s="17" t="s">
        <v>550</v>
      </c>
      <c r="Y80" s="17" t="s">
        <v>137</v>
      </c>
      <c r="Z80" s="18" t="s">
        <v>544</v>
      </c>
      <c r="AJ80" s="17" t="s">
        <v>254</v>
      </c>
    </row>
    <row r="81" spans="6:36" x14ac:dyDescent="0.3">
      <c r="F81" s="18" t="str">
        <f t="shared" si="4"/>
        <v>الدائرة الأولى جنائي</v>
      </c>
      <c r="G81" s="17">
        <v>49</v>
      </c>
      <c r="H81" s="17" t="s">
        <v>62</v>
      </c>
      <c r="I81" s="17">
        <v>200223</v>
      </c>
      <c r="J81" s="18" t="s">
        <v>259</v>
      </c>
      <c r="K81" s="18" t="s">
        <v>71</v>
      </c>
      <c r="L81" s="17" t="s">
        <v>136</v>
      </c>
      <c r="M81" s="17">
        <v>19</v>
      </c>
      <c r="N81" s="18" t="str">
        <f t="shared" si="5"/>
        <v>محكمة بني سويف الابتدائية</v>
      </c>
      <c r="O81" s="18" t="s">
        <v>172</v>
      </c>
      <c r="P81" s="17" t="s">
        <v>173</v>
      </c>
      <c r="Q81" s="17">
        <v>109</v>
      </c>
      <c r="R81" s="18" t="s">
        <v>626</v>
      </c>
      <c r="S81" s="17" t="s">
        <v>541</v>
      </c>
      <c r="T81" s="17" t="s">
        <v>542</v>
      </c>
      <c r="U81" s="17">
        <v>73</v>
      </c>
      <c r="V81" s="18" t="str">
        <f t="shared" si="6"/>
        <v>الدائرة الأولى جزئي</v>
      </c>
      <c r="W81" s="17" t="s">
        <v>64</v>
      </c>
      <c r="X81" s="17" t="s">
        <v>543</v>
      </c>
      <c r="Y81" s="17" t="s">
        <v>137</v>
      </c>
      <c r="Z81" s="18" t="s">
        <v>544</v>
      </c>
      <c r="AJ81" s="17" t="s">
        <v>254</v>
      </c>
    </row>
    <row r="82" spans="6:36" x14ac:dyDescent="0.3">
      <c r="F82" s="18" t="str">
        <f t="shared" si="4"/>
        <v>الدائرة الأولى جنائي</v>
      </c>
      <c r="G82" s="17">
        <v>49</v>
      </c>
      <c r="H82" s="17" t="s">
        <v>62</v>
      </c>
      <c r="I82" s="17">
        <v>200224</v>
      </c>
      <c r="J82" s="18" t="s">
        <v>260</v>
      </c>
      <c r="K82" s="18" t="s">
        <v>78</v>
      </c>
      <c r="L82" s="17" t="s">
        <v>136</v>
      </c>
      <c r="M82" s="17">
        <v>20</v>
      </c>
      <c r="N82" s="18" t="str">
        <f t="shared" si="5"/>
        <v>محكمة بني سويف الابتدائية</v>
      </c>
      <c r="O82" s="18" t="s">
        <v>176</v>
      </c>
      <c r="P82" s="17" t="s">
        <v>177</v>
      </c>
      <c r="Q82" s="17">
        <v>230206</v>
      </c>
      <c r="R82" s="18" t="s">
        <v>627</v>
      </c>
      <c r="S82" s="17" t="s">
        <v>541</v>
      </c>
      <c r="T82" s="17" t="s">
        <v>542</v>
      </c>
      <c r="U82" s="17">
        <v>74</v>
      </c>
      <c r="V82" s="18" t="str">
        <f t="shared" si="6"/>
        <v>الدائرة الثانية جزئي</v>
      </c>
      <c r="W82" s="17" t="s">
        <v>64</v>
      </c>
      <c r="X82" s="17" t="s">
        <v>543</v>
      </c>
      <c r="Y82" s="17" t="s">
        <v>137</v>
      </c>
      <c r="Z82" s="18" t="s">
        <v>544</v>
      </c>
      <c r="AJ82" s="17" t="s">
        <v>254</v>
      </c>
    </row>
    <row r="83" spans="6:36" x14ac:dyDescent="0.3">
      <c r="F83" s="18" t="str">
        <f t="shared" si="4"/>
        <v>الدائرة الأولى جنائي</v>
      </c>
      <c r="G83" s="17">
        <v>49</v>
      </c>
      <c r="H83" s="17" t="s">
        <v>62</v>
      </c>
      <c r="I83" s="17">
        <v>200225</v>
      </c>
      <c r="J83" s="18" t="s">
        <v>261</v>
      </c>
      <c r="K83" s="18" t="s">
        <v>75</v>
      </c>
      <c r="L83" s="17" t="s">
        <v>136</v>
      </c>
      <c r="M83" s="17">
        <v>21</v>
      </c>
      <c r="N83" s="18" t="str">
        <f t="shared" si="5"/>
        <v>محكمة بني سويف الابتدائية</v>
      </c>
      <c r="O83" s="18" t="s">
        <v>179</v>
      </c>
      <c r="P83" s="17" t="s">
        <v>180</v>
      </c>
      <c r="Q83" s="17">
        <v>230207</v>
      </c>
      <c r="R83" s="18" t="s">
        <v>628</v>
      </c>
      <c r="S83" s="17" t="s">
        <v>541</v>
      </c>
      <c r="T83" s="17" t="s">
        <v>542</v>
      </c>
      <c r="U83" s="17">
        <v>75</v>
      </c>
      <c r="V83" s="18" t="str">
        <f t="shared" si="6"/>
        <v>الدائرة الثالثة جزئي</v>
      </c>
      <c r="W83" s="17" t="s">
        <v>64</v>
      </c>
      <c r="X83" s="17" t="s">
        <v>543</v>
      </c>
      <c r="Y83" s="17" t="s">
        <v>137</v>
      </c>
      <c r="Z83" s="18" t="s">
        <v>544</v>
      </c>
      <c r="AJ83" s="17" t="s">
        <v>254</v>
      </c>
    </row>
    <row r="84" spans="6:36" x14ac:dyDescent="0.3">
      <c r="F84" s="18" t="str">
        <f t="shared" si="4"/>
        <v>الدائرة الأولى جنائي</v>
      </c>
      <c r="G84" s="17">
        <v>49</v>
      </c>
      <c r="H84" s="17" t="s">
        <v>62</v>
      </c>
      <c r="I84" s="17">
        <v>200226</v>
      </c>
      <c r="J84" s="18" t="s">
        <v>262</v>
      </c>
      <c r="K84" s="18" t="s">
        <v>77</v>
      </c>
      <c r="L84" s="17" t="s">
        <v>136</v>
      </c>
      <c r="M84" s="17">
        <v>22</v>
      </c>
      <c r="N84" s="18" t="str">
        <f t="shared" si="5"/>
        <v>محكمة بني سويف الابتدائية</v>
      </c>
      <c r="O84" s="18" t="s">
        <v>172</v>
      </c>
      <c r="P84" s="17" t="s">
        <v>173</v>
      </c>
      <c r="Q84" s="17">
        <v>91</v>
      </c>
      <c r="R84" s="18" t="s">
        <v>629</v>
      </c>
      <c r="S84" s="17" t="s">
        <v>541</v>
      </c>
      <c r="T84" s="17" t="s">
        <v>542</v>
      </c>
      <c r="U84" s="17">
        <v>76</v>
      </c>
      <c r="V84" s="18" t="str">
        <f t="shared" si="6"/>
        <v>الدائرة الرابعة جزئي</v>
      </c>
      <c r="W84" s="17" t="s">
        <v>64</v>
      </c>
      <c r="X84" s="17" t="s">
        <v>543</v>
      </c>
      <c r="Y84" s="17" t="s">
        <v>137</v>
      </c>
      <c r="Z84" s="18" t="s">
        <v>544</v>
      </c>
      <c r="AJ84" s="17" t="s">
        <v>254</v>
      </c>
    </row>
    <row r="85" spans="6:36" x14ac:dyDescent="0.3">
      <c r="F85" s="18" t="str">
        <f t="shared" si="4"/>
        <v>الدائرة الأولى جنائي</v>
      </c>
      <c r="G85" s="17">
        <v>49</v>
      </c>
      <c r="H85" s="17" t="s">
        <v>62</v>
      </c>
      <c r="I85" s="17">
        <v>200227</v>
      </c>
      <c r="J85" s="18" t="s">
        <v>263</v>
      </c>
      <c r="K85" s="18" t="s">
        <v>76</v>
      </c>
      <c r="L85" s="17" t="s">
        <v>136</v>
      </c>
      <c r="M85" s="17">
        <v>23</v>
      </c>
      <c r="N85" s="18" t="str">
        <f t="shared" si="5"/>
        <v>محكمة بني سويف الابتدائية</v>
      </c>
      <c r="O85" s="18" t="s">
        <v>176</v>
      </c>
      <c r="P85" s="17" t="s">
        <v>177</v>
      </c>
      <c r="Q85" s="17">
        <v>92</v>
      </c>
      <c r="R85" s="18" t="s">
        <v>630</v>
      </c>
      <c r="S85" s="17" t="s">
        <v>541</v>
      </c>
      <c r="T85" s="17" t="s">
        <v>542</v>
      </c>
      <c r="U85" s="17">
        <v>77</v>
      </c>
      <c r="V85" s="18" t="str">
        <f t="shared" si="6"/>
        <v>الدائرة الأولى جزئي</v>
      </c>
      <c r="W85" s="17" t="s">
        <v>64</v>
      </c>
      <c r="X85" s="17" t="s">
        <v>543</v>
      </c>
      <c r="Y85" s="17" t="s">
        <v>137</v>
      </c>
      <c r="Z85" s="18" t="s">
        <v>544</v>
      </c>
      <c r="AJ85" s="17" t="s">
        <v>254</v>
      </c>
    </row>
    <row r="86" spans="6:36" x14ac:dyDescent="0.3">
      <c r="F86" s="18" t="str">
        <f t="shared" si="4"/>
        <v>الدائرة الأولى جنائي</v>
      </c>
      <c r="G86" s="17">
        <v>49</v>
      </c>
      <c r="H86" s="17" t="s">
        <v>62</v>
      </c>
      <c r="I86" s="17">
        <v>200228</v>
      </c>
      <c r="J86" s="18" t="s">
        <v>264</v>
      </c>
      <c r="K86" s="18" t="s">
        <v>79</v>
      </c>
      <c r="L86" s="17" t="s">
        <v>136</v>
      </c>
      <c r="M86" s="17">
        <v>24</v>
      </c>
      <c r="N86" s="18" t="str">
        <f t="shared" si="5"/>
        <v>محكمة بني سويف الابتدائية</v>
      </c>
      <c r="O86" s="18" t="s">
        <v>179</v>
      </c>
      <c r="P86" s="17" t="s">
        <v>180</v>
      </c>
      <c r="Q86" s="17">
        <v>230208</v>
      </c>
      <c r="R86" s="18" t="s">
        <v>631</v>
      </c>
      <c r="S86" s="17" t="s">
        <v>541</v>
      </c>
      <c r="T86" s="17" t="s">
        <v>542</v>
      </c>
      <c r="U86" s="17">
        <v>78</v>
      </c>
      <c r="V86" s="18" t="str">
        <f t="shared" si="6"/>
        <v>الدائرة الثانية جزئي</v>
      </c>
      <c r="W86" s="17" t="s">
        <v>64</v>
      </c>
      <c r="X86" s="17" t="s">
        <v>543</v>
      </c>
      <c r="Y86" s="17" t="s">
        <v>137</v>
      </c>
      <c r="Z86" s="18" t="s">
        <v>544</v>
      </c>
      <c r="AJ86" s="17" t="s">
        <v>254</v>
      </c>
    </row>
    <row r="87" spans="6:36" x14ac:dyDescent="0.3">
      <c r="F87" s="18" t="str">
        <f t="shared" si="4"/>
        <v>الدائرة الثانية جنائي</v>
      </c>
      <c r="G87" s="17">
        <v>50</v>
      </c>
      <c r="H87" s="17" t="s">
        <v>62</v>
      </c>
      <c r="I87" s="17">
        <v>200229</v>
      </c>
      <c r="J87" s="18" t="s">
        <v>265</v>
      </c>
      <c r="K87" s="18" t="s">
        <v>81</v>
      </c>
      <c r="L87" s="17" t="s">
        <v>131</v>
      </c>
      <c r="M87" s="17">
        <v>25</v>
      </c>
      <c r="N87" s="18" t="str">
        <f t="shared" si="5"/>
        <v>محكمة بني سويف الابتدائية</v>
      </c>
      <c r="O87" s="18" t="s">
        <v>172</v>
      </c>
      <c r="P87" s="17" t="s">
        <v>173</v>
      </c>
      <c r="Q87" s="17">
        <v>94</v>
      </c>
      <c r="R87" s="18" t="s">
        <v>632</v>
      </c>
      <c r="S87" s="17" t="s">
        <v>541</v>
      </c>
      <c r="T87" s="17" t="s">
        <v>542</v>
      </c>
      <c r="U87" s="17">
        <v>79</v>
      </c>
      <c r="V87" s="18" t="str">
        <f t="shared" si="6"/>
        <v>الدائرة الثالثة جزئي</v>
      </c>
      <c r="W87" s="17" t="s">
        <v>64</v>
      </c>
      <c r="X87" s="17" t="s">
        <v>543</v>
      </c>
      <c r="Y87" s="17" t="s">
        <v>137</v>
      </c>
      <c r="Z87" s="18" t="s">
        <v>544</v>
      </c>
      <c r="AJ87" s="17" t="s">
        <v>174</v>
      </c>
    </row>
    <row r="88" spans="6:36" x14ac:dyDescent="0.3">
      <c r="F88" s="18" t="str">
        <f t="shared" si="4"/>
        <v>الدائرة الثانية جنائي</v>
      </c>
      <c r="G88" s="17">
        <v>50</v>
      </c>
      <c r="H88" s="17" t="s">
        <v>62</v>
      </c>
      <c r="I88" s="17">
        <v>200230</v>
      </c>
      <c r="J88" s="18" t="s">
        <v>266</v>
      </c>
      <c r="K88" s="18" t="s">
        <v>71</v>
      </c>
      <c r="L88" s="17" t="s">
        <v>131</v>
      </c>
      <c r="M88" s="17">
        <v>26</v>
      </c>
      <c r="N88" s="18" t="str">
        <f t="shared" si="5"/>
        <v>محكمة بني سويف الابتدائية</v>
      </c>
      <c r="O88" s="18" t="s">
        <v>176</v>
      </c>
      <c r="P88" s="17" t="s">
        <v>177</v>
      </c>
      <c r="Q88" s="17">
        <v>230209</v>
      </c>
      <c r="R88" s="18" t="s">
        <v>633</v>
      </c>
      <c r="S88" s="17" t="s">
        <v>541</v>
      </c>
      <c r="T88" s="17" t="s">
        <v>542</v>
      </c>
      <c r="U88" s="17">
        <v>80</v>
      </c>
      <c r="V88" s="18" t="str">
        <f t="shared" si="6"/>
        <v>الدائرة الأولى جزئي</v>
      </c>
      <c r="W88" s="17" t="s">
        <v>64</v>
      </c>
      <c r="X88" s="17" t="s">
        <v>543</v>
      </c>
      <c r="Y88" s="17" t="s">
        <v>137</v>
      </c>
      <c r="Z88" s="18" t="s">
        <v>544</v>
      </c>
      <c r="AJ88" s="17" t="s">
        <v>254</v>
      </c>
    </row>
    <row r="89" spans="6:36" x14ac:dyDescent="0.3">
      <c r="F89" s="18" t="str">
        <f t="shared" si="4"/>
        <v>الدائرة الثانية جنائي</v>
      </c>
      <c r="G89" s="17">
        <v>50</v>
      </c>
      <c r="H89" s="17" t="s">
        <v>62</v>
      </c>
      <c r="I89" s="17">
        <v>200231</v>
      </c>
      <c r="J89" s="18" t="s">
        <v>267</v>
      </c>
      <c r="K89" s="18" t="s">
        <v>78</v>
      </c>
      <c r="L89" s="17" t="s">
        <v>131</v>
      </c>
      <c r="M89" s="17">
        <v>27</v>
      </c>
      <c r="N89" s="18" t="str">
        <f t="shared" si="5"/>
        <v>محكمة بني سويف الابتدائية</v>
      </c>
      <c r="O89" s="18" t="s">
        <v>179</v>
      </c>
      <c r="P89" s="17" t="s">
        <v>180</v>
      </c>
      <c r="Q89" s="17">
        <v>230210</v>
      </c>
      <c r="R89" s="18" t="s">
        <v>634</v>
      </c>
      <c r="S89" s="17" t="s">
        <v>541</v>
      </c>
      <c r="T89" s="17" t="s">
        <v>542</v>
      </c>
      <c r="U89" s="17">
        <v>81</v>
      </c>
      <c r="V89" s="18" t="str">
        <f t="shared" si="6"/>
        <v>الدائرة الثانية جزئي</v>
      </c>
      <c r="W89" s="17" t="s">
        <v>64</v>
      </c>
      <c r="X89" s="17" t="s">
        <v>543</v>
      </c>
      <c r="Y89" s="17" t="s">
        <v>137</v>
      </c>
      <c r="Z89" s="18" t="s">
        <v>544</v>
      </c>
      <c r="AJ89" s="17" t="s">
        <v>254</v>
      </c>
    </row>
    <row r="90" spans="6:36" x14ac:dyDescent="0.3">
      <c r="F90" s="18" t="str">
        <f t="shared" si="4"/>
        <v>الدائرة الثانية جنائي</v>
      </c>
      <c r="G90" s="17">
        <v>50</v>
      </c>
      <c r="H90" s="17" t="s">
        <v>62</v>
      </c>
      <c r="I90" s="17">
        <v>200232</v>
      </c>
      <c r="J90" s="18" t="s">
        <v>268</v>
      </c>
      <c r="K90" s="18" t="s">
        <v>75</v>
      </c>
      <c r="L90" s="17" t="s">
        <v>131</v>
      </c>
      <c r="M90" s="17">
        <v>28</v>
      </c>
      <c r="N90" s="18" t="str">
        <f t="shared" si="5"/>
        <v>محكمة بني سويف الابتدائية</v>
      </c>
      <c r="O90" s="18" t="s">
        <v>172</v>
      </c>
      <c r="P90" s="17" t="s">
        <v>173</v>
      </c>
      <c r="Q90" s="17">
        <v>230211</v>
      </c>
      <c r="R90" s="18" t="s">
        <v>635</v>
      </c>
      <c r="S90" s="17" t="s">
        <v>541</v>
      </c>
      <c r="T90" s="17" t="s">
        <v>542</v>
      </c>
      <c r="U90" s="17">
        <v>82</v>
      </c>
      <c r="V90" s="18" t="str">
        <f t="shared" si="6"/>
        <v>الدائرة الثالثة جزئي</v>
      </c>
      <c r="W90" s="17" t="s">
        <v>64</v>
      </c>
      <c r="X90" s="17" t="s">
        <v>543</v>
      </c>
      <c r="Y90" s="17" t="s">
        <v>137</v>
      </c>
      <c r="Z90" s="18" t="s">
        <v>544</v>
      </c>
      <c r="AJ90" s="17" t="s">
        <v>254</v>
      </c>
    </row>
    <row r="91" spans="6:36" x14ac:dyDescent="0.3">
      <c r="F91" s="18" t="str">
        <f t="shared" si="4"/>
        <v>الدائرة الثانية جنائي</v>
      </c>
      <c r="G91" s="17">
        <v>50</v>
      </c>
      <c r="H91" s="17" t="s">
        <v>62</v>
      </c>
      <c r="I91" s="17">
        <v>200233</v>
      </c>
      <c r="J91" s="18" t="s">
        <v>269</v>
      </c>
      <c r="K91" s="18" t="s">
        <v>77</v>
      </c>
      <c r="L91" s="17" t="s">
        <v>131</v>
      </c>
      <c r="M91" s="17">
        <v>29</v>
      </c>
      <c r="N91" s="18" t="str">
        <f t="shared" si="5"/>
        <v>محكمة بني سويف الابتدائية</v>
      </c>
      <c r="O91" s="18" t="s">
        <v>176</v>
      </c>
      <c r="P91" s="17" t="s">
        <v>177</v>
      </c>
      <c r="Q91" s="17">
        <v>230212</v>
      </c>
      <c r="R91" s="18" t="s">
        <v>636</v>
      </c>
      <c r="S91" s="17" t="s">
        <v>541</v>
      </c>
      <c r="T91" s="17" t="s">
        <v>542</v>
      </c>
      <c r="U91" s="17">
        <v>83</v>
      </c>
      <c r="V91" s="18" t="str">
        <f t="shared" si="6"/>
        <v>الدائرة الأولى جزئي</v>
      </c>
      <c r="W91" s="17" t="s">
        <v>64</v>
      </c>
      <c r="X91" s="17" t="s">
        <v>543</v>
      </c>
      <c r="Y91" s="17" t="s">
        <v>137</v>
      </c>
      <c r="Z91" s="18" t="s">
        <v>544</v>
      </c>
      <c r="AJ91" s="17" t="s">
        <v>254</v>
      </c>
    </row>
    <row r="92" spans="6:36" x14ac:dyDescent="0.3">
      <c r="F92" s="18" t="str">
        <f t="shared" si="4"/>
        <v>الدائرة الثانية جنائي</v>
      </c>
      <c r="G92" s="17">
        <v>50</v>
      </c>
      <c r="H92" s="17" t="s">
        <v>62</v>
      </c>
      <c r="I92" s="17">
        <v>200234</v>
      </c>
      <c r="J92" s="18" t="s">
        <v>270</v>
      </c>
      <c r="K92" s="18" t="s">
        <v>76</v>
      </c>
      <c r="L92" s="17" t="s">
        <v>131</v>
      </c>
      <c r="M92" s="17">
        <v>30</v>
      </c>
      <c r="N92" s="18" t="str">
        <f t="shared" si="5"/>
        <v>محكمة بني سويف الابتدائية</v>
      </c>
      <c r="O92" s="18" t="s">
        <v>179</v>
      </c>
      <c r="P92" s="17" t="s">
        <v>180</v>
      </c>
      <c r="Q92" s="17">
        <v>230213</v>
      </c>
      <c r="R92" s="18" t="s">
        <v>637</v>
      </c>
      <c r="S92" s="17" t="s">
        <v>541</v>
      </c>
      <c r="T92" s="17" t="s">
        <v>542</v>
      </c>
      <c r="U92" s="17">
        <v>84</v>
      </c>
      <c r="V92" s="18" t="str">
        <f t="shared" si="6"/>
        <v>الدائرة الثانية جزئي</v>
      </c>
      <c r="W92" s="17" t="s">
        <v>64</v>
      </c>
      <c r="X92" s="17" t="s">
        <v>543</v>
      </c>
      <c r="Y92" s="17" t="s">
        <v>137</v>
      </c>
      <c r="Z92" s="18" t="s">
        <v>544</v>
      </c>
      <c r="AJ92" s="17" t="s">
        <v>254</v>
      </c>
    </row>
    <row r="93" spans="6:36" x14ac:dyDescent="0.3">
      <c r="F93" s="18" t="str">
        <f t="shared" si="4"/>
        <v>الدائرة الثانية جنائي</v>
      </c>
      <c r="G93" s="17">
        <v>50</v>
      </c>
      <c r="H93" s="17" t="s">
        <v>62</v>
      </c>
      <c r="I93" s="17">
        <v>200235</v>
      </c>
      <c r="J93" s="18" t="s">
        <v>271</v>
      </c>
      <c r="K93" s="18" t="s">
        <v>79</v>
      </c>
      <c r="L93" s="17" t="s">
        <v>131</v>
      </c>
      <c r="M93" s="17">
        <v>31</v>
      </c>
      <c r="N93" s="18" t="str">
        <f t="shared" si="5"/>
        <v>محكمة بني سويف الابتدائية</v>
      </c>
      <c r="O93" s="18" t="s">
        <v>172</v>
      </c>
      <c r="P93" s="17" t="s">
        <v>173</v>
      </c>
      <c r="Q93" s="17">
        <v>230214</v>
      </c>
      <c r="R93" s="18" t="s">
        <v>638</v>
      </c>
      <c r="S93" s="17" t="s">
        <v>541</v>
      </c>
      <c r="T93" s="17" t="s">
        <v>542</v>
      </c>
      <c r="U93" s="17">
        <v>85</v>
      </c>
      <c r="V93" s="18" t="str">
        <f t="shared" si="6"/>
        <v>الدائرة الأولى جزئي</v>
      </c>
      <c r="W93" s="17" t="s">
        <v>64</v>
      </c>
      <c r="X93" s="17" t="s">
        <v>543</v>
      </c>
      <c r="Y93" s="17" t="s">
        <v>137</v>
      </c>
      <c r="Z93" s="18" t="s">
        <v>544</v>
      </c>
      <c r="AJ93" s="17" t="s">
        <v>254</v>
      </c>
    </row>
    <row r="94" spans="6:36" x14ac:dyDescent="0.3">
      <c r="F94" s="18" t="str">
        <f t="shared" si="4"/>
        <v>الدائرة الثانية جنائي</v>
      </c>
      <c r="G94" s="17">
        <v>50</v>
      </c>
      <c r="H94" s="17" t="s">
        <v>62</v>
      </c>
      <c r="I94" s="17">
        <v>200236</v>
      </c>
      <c r="J94" s="18" t="s">
        <v>272</v>
      </c>
      <c r="K94" s="18" t="s">
        <v>81</v>
      </c>
      <c r="L94" s="17" t="s">
        <v>132</v>
      </c>
      <c r="M94" s="17">
        <v>32</v>
      </c>
      <c r="N94" s="18" t="str">
        <f t="shared" si="5"/>
        <v>محكمة بني سويف الابتدائية</v>
      </c>
      <c r="O94" s="18" t="s">
        <v>176</v>
      </c>
      <c r="P94" s="17" t="s">
        <v>177</v>
      </c>
      <c r="Q94" s="17">
        <v>230215</v>
      </c>
      <c r="R94" s="18" t="s">
        <v>639</v>
      </c>
      <c r="S94" s="17" t="s">
        <v>541</v>
      </c>
      <c r="T94" s="17" t="s">
        <v>542</v>
      </c>
      <c r="U94" s="17">
        <v>86</v>
      </c>
      <c r="V94" s="18" t="str">
        <f t="shared" si="6"/>
        <v>الدائرة الثانية جزئي</v>
      </c>
      <c r="W94" s="17" t="s">
        <v>64</v>
      </c>
      <c r="X94" s="17" t="s">
        <v>543</v>
      </c>
      <c r="Y94" s="17" t="s">
        <v>137</v>
      </c>
      <c r="Z94" s="18" t="s">
        <v>544</v>
      </c>
      <c r="AJ94" s="17" t="s">
        <v>174</v>
      </c>
    </row>
    <row r="95" spans="6:36" x14ac:dyDescent="0.3">
      <c r="F95" s="18" t="str">
        <f t="shared" si="4"/>
        <v>الدائرة الثانية جنائي</v>
      </c>
      <c r="G95" s="17">
        <v>50</v>
      </c>
      <c r="H95" s="17" t="s">
        <v>62</v>
      </c>
      <c r="I95" s="17">
        <v>200237</v>
      </c>
      <c r="J95" s="18" t="s">
        <v>273</v>
      </c>
      <c r="K95" s="18" t="s">
        <v>86</v>
      </c>
      <c r="L95" s="17" t="s">
        <v>132</v>
      </c>
      <c r="M95" s="17">
        <v>33</v>
      </c>
      <c r="N95" s="18" t="str">
        <f t="shared" si="5"/>
        <v>محكمة بني سويف الابتدائية</v>
      </c>
      <c r="O95" s="18" t="s">
        <v>179</v>
      </c>
      <c r="P95" s="17" t="s">
        <v>180</v>
      </c>
      <c r="Q95" s="17">
        <v>230216</v>
      </c>
      <c r="R95" s="18" t="s">
        <v>640</v>
      </c>
      <c r="S95" s="17" t="s">
        <v>541</v>
      </c>
      <c r="T95" s="17" t="s">
        <v>542</v>
      </c>
      <c r="U95" s="17">
        <v>87</v>
      </c>
      <c r="V95" s="18" t="str">
        <f t="shared" si="6"/>
        <v>الدائرة الأولى جزئي</v>
      </c>
      <c r="W95" s="17" t="s">
        <v>64</v>
      </c>
      <c r="X95" s="17" t="s">
        <v>543</v>
      </c>
      <c r="Y95" s="17" t="s">
        <v>137</v>
      </c>
      <c r="Z95" s="18" t="s">
        <v>544</v>
      </c>
      <c r="AJ95" s="17" t="s">
        <v>174</v>
      </c>
    </row>
    <row r="96" spans="6:36" x14ac:dyDescent="0.3">
      <c r="F96" s="18" t="str">
        <f t="shared" si="4"/>
        <v>الدائرة الثانية جنائي</v>
      </c>
      <c r="G96" s="17">
        <v>50</v>
      </c>
      <c r="H96" s="17" t="s">
        <v>62</v>
      </c>
      <c r="I96" s="17">
        <v>200238</v>
      </c>
      <c r="J96" s="18" t="s">
        <v>274</v>
      </c>
      <c r="K96" s="18" t="s">
        <v>81</v>
      </c>
      <c r="L96" s="17" t="s">
        <v>133</v>
      </c>
      <c r="M96" s="17">
        <v>34</v>
      </c>
      <c r="N96" s="18" t="str">
        <f t="shared" si="5"/>
        <v>محكمة بني سويف الابتدائية</v>
      </c>
      <c r="O96" s="18" t="s">
        <v>172</v>
      </c>
      <c r="P96" s="17" t="s">
        <v>173</v>
      </c>
      <c r="Q96" s="17">
        <v>230217</v>
      </c>
      <c r="R96" s="18" t="s">
        <v>641</v>
      </c>
      <c r="S96" s="17" t="s">
        <v>541</v>
      </c>
      <c r="T96" s="17" t="s">
        <v>542</v>
      </c>
      <c r="U96" s="17">
        <v>88</v>
      </c>
      <c r="V96" s="18" t="str">
        <f t="shared" si="6"/>
        <v>الدائرة الثانية جزئي</v>
      </c>
      <c r="W96" s="17" t="s">
        <v>64</v>
      </c>
      <c r="X96" s="17" t="s">
        <v>543</v>
      </c>
      <c r="Y96" s="17" t="s">
        <v>137</v>
      </c>
      <c r="Z96" s="18" t="s">
        <v>544</v>
      </c>
      <c r="AJ96" s="17" t="s">
        <v>174</v>
      </c>
    </row>
    <row r="97" spans="6:36" x14ac:dyDescent="0.3">
      <c r="F97" s="18" t="str">
        <f t="shared" si="4"/>
        <v>الدائرة الثانية جنائي</v>
      </c>
      <c r="G97" s="17">
        <v>50</v>
      </c>
      <c r="H97" s="17" t="s">
        <v>62</v>
      </c>
      <c r="I97" s="17">
        <v>200239</v>
      </c>
      <c r="J97" s="18" t="s">
        <v>275</v>
      </c>
      <c r="K97" s="18" t="s">
        <v>83</v>
      </c>
      <c r="L97" s="17" t="s">
        <v>133</v>
      </c>
      <c r="M97" s="17">
        <v>35</v>
      </c>
      <c r="N97" s="18" t="str">
        <f t="shared" si="5"/>
        <v>محكمة بني سويف الابتدائية</v>
      </c>
      <c r="O97" s="18" t="s">
        <v>176</v>
      </c>
      <c r="P97" s="17" t="s">
        <v>177</v>
      </c>
      <c r="Q97" s="17">
        <v>230218</v>
      </c>
      <c r="R97" s="18" t="s">
        <v>642</v>
      </c>
      <c r="S97" s="17" t="s">
        <v>541</v>
      </c>
      <c r="T97" s="17" t="s">
        <v>542</v>
      </c>
      <c r="U97" s="17">
        <v>89</v>
      </c>
      <c r="V97" s="18" t="str">
        <f t="shared" si="6"/>
        <v>الدائرة الثالثة جزئي</v>
      </c>
      <c r="W97" s="17" t="s">
        <v>64</v>
      </c>
      <c r="X97" s="17" t="s">
        <v>543</v>
      </c>
      <c r="Y97" s="17" t="s">
        <v>137</v>
      </c>
      <c r="Z97" s="18" t="s">
        <v>544</v>
      </c>
      <c r="AJ97" s="17" t="s">
        <v>254</v>
      </c>
    </row>
    <row r="98" spans="6:36" x14ac:dyDescent="0.3">
      <c r="F98" s="18" t="str">
        <f t="shared" si="4"/>
        <v>الدائرة الثانية جنائي</v>
      </c>
      <c r="G98" s="17">
        <v>50</v>
      </c>
      <c r="H98" s="17" t="s">
        <v>62</v>
      </c>
      <c r="I98" s="17">
        <v>200240</v>
      </c>
      <c r="J98" s="18" t="s">
        <v>276</v>
      </c>
      <c r="K98" s="18" t="s">
        <v>84</v>
      </c>
      <c r="L98" s="17" t="s">
        <v>133</v>
      </c>
      <c r="M98" s="17">
        <v>36</v>
      </c>
      <c r="N98" s="18" t="str">
        <f t="shared" si="5"/>
        <v>محكمة بني سويف الابتدائية</v>
      </c>
      <c r="O98" s="18" t="s">
        <v>179</v>
      </c>
      <c r="P98" s="17" t="s">
        <v>180</v>
      </c>
      <c r="Q98" s="17">
        <v>230219</v>
      </c>
      <c r="R98" s="18" t="s">
        <v>643</v>
      </c>
      <c r="S98" s="17" t="s">
        <v>541</v>
      </c>
      <c r="T98" s="17" t="s">
        <v>542</v>
      </c>
      <c r="U98" s="17">
        <v>90</v>
      </c>
      <c r="V98" s="18" t="str">
        <f t="shared" si="6"/>
        <v>الدائرة الأولى جزئي</v>
      </c>
      <c r="W98" s="17" t="s">
        <v>64</v>
      </c>
      <c r="X98" s="17" t="s">
        <v>543</v>
      </c>
      <c r="Y98" s="17" t="s">
        <v>137</v>
      </c>
      <c r="Z98" s="18" t="s">
        <v>544</v>
      </c>
      <c r="AJ98" s="17" t="s">
        <v>174</v>
      </c>
    </row>
    <row r="99" spans="6:36" x14ac:dyDescent="0.3">
      <c r="F99" s="18" t="str">
        <f t="shared" si="4"/>
        <v>الدائرة الثالثة جنائي</v>
      </c>
      <c r="G99" s="17">
        <v>51</v>
      </c>
      <c r="H99" s="17" t="s">
        <v>62</v>
      </c>
      <c r="I99" s="17">
        <v>200241</v>
      </c>
      <c r="J99" s="18" t="s">
        <v>277</v>
      </c>
      <c r="K99" s="18" t="s">
        <v>81</v>
      </c>
      <c r="L99" s="17" t="s">
        <v>134</v>
      </c>
      <c r="M99" s="17">
        <v>37</v>
      </c>
      <c r="N99" s="18" t="str">
        <f t="shared" si="5"/>
        <v>محكمة بني سويف الابتدائية</v>
      </c>
      <c r="O99" s="18" t="s">
        <v>172</v>
      </c>
      <c r="P99" s="17" t="s">
        <v>173</v>
      </c>
      <c r="Q99" s="17">
        <v>230220</v>
      </c>
      <c r="R99" s="18" t="s">
        <v>644</v>
      </c>
      <c r="S99" s="17" t="s">
        <v>541</v>
      </c>
      <c r="T99" s="17" t="s">
        <v>542</v>
      </c>
      <c r="U99" s="17">
        <v>91</v>
      </c>
      <c r="V99" s="18" t="str">
        <f t="shared" si="6"/>
        <v>الدائرة الثانية جزئي</v>
      </c>
      <c r="W99" s="17" t="s">
        <v>64</v>
      </c>
      <c r="X99" s="17" t="s">
        <v>543</v>
      </c>
      <c r="Y99" s="17" t="s">
        <v>137</v>
      </c>
      <c r="Z99" s="18" t="s">
        <v>544</v>
      </c>
      <c r="AJ99" s="17" t="s">
        <v>174</v>
      </c>
    </row>
    <row r="100" spans="6:36" x14ac:dyDescent="0.3">
      <c r="F100" s="18" t="str">
        <f t="shared" si="4"/>
        <v>الدائرة الثالثة جنائي</v>
      </c>
      <c r="G100" s="17">
        <v>51</v>
      </c>
      <c r="H100" s="17" t="s">
        <v>62</v>
      </c>
      <c r="I100" s="17">
        <v>200242</v>
      </c>
      <c r="J100" s="18" t="s">
        <v>278</v>
      </c>
      <c r="K100" s="18" t="s">
        <v>83</v>
      </c>
      <c r="L100" s="17" t="s">
        <v>134</v>
      </c>
      <c r="M100" s="17">
        <v>38</v>
      </c>
      <c r="N100" s="18" t="str">
        <f t="shared" si="5"/>
        <v>محكمة بني سويف الابتدائية</v>
      </c>
      <c r="O100" s="18" t="s">
        <v>176</v>
      </c>
      <c r="P100" s="17" t="s">
        <v>177</v>
      </c>
      <c r="Q100" s="17">
        <v>230221</v>
      </c>
      <c r="R100" s="18" t="s">
        <v>645</v>
      </c>
      <c r="S100" s="17" t="s">
        <v>541</v>
      </c>
      <c r="T100" s="17" t="s">
        <v>542</v>
      </c>
      <c r="U100" s="17">
        <v>92</v>
      </c>
      <c r="V100" s="18" t="str">
        <f t="shared" si="6"/>
        <v>الدائرة الثالثة جزئي</v>
      </c>
      <c r="W100" s="17" t="s">
        <v>64</v>
      </c>
      <c r="X100" s="17" t="s">
        <v>543</v>
      </c>
      <c r="Y100" s="17" t="s">
        <v>137</v>
      </c>
      <c r="Z100" s="18" t="s">
        <v>544</v>
      </c>
      <c r="AJ100" s="17" t="s">
        <v>254</v>
      </c>
    </row>
    <row r="101" spans="6:36" x14ac:dyDescent="0.3">
      <c r="F101" s="18" t="str">
        <f t="shared" si="4"/>
        <v>الدائرة الثالثة جنائي</v>
      </c>
      <c r="G101" s="17">
        <v>51</v>
      </c>
      <c r="H101" s="17" t="s">
        <v>62</v>
      </c>
      <c r="I101" s="17">
        <v>200243</v>
      </c>
      <c r="J101" s="18" t="s">
        <v>279</v>
      </c>
      <c r="K101" s="18" t="s">
        <v>84</v>
      </c>
      <c r="L101" s="17" t="s">
        <v>134</v>
      </c>
      <c r="M101" s="17">
        <v>39</v>
      </c>
      <c r="N101" s="18" t="str">
        <f t="shared" si="5"/>
        <v>محكمة بني سويف الابتدائية</v>
      </c>
      <c r="O101" s="18" t="s">
        <v>179</v>
      </c>
      <c r="P101" s="17" t="s">
        <v>180</v>
      </c>
      <c r="Q101" s="17">
        <v>230222</v>
      </c>
      <c r="R101" s="18" t="s">
        <v>646</v>
      </c>
      <c r="S101" s="17" t="s">
        <v>541</v>
      </c>
      <c r="T101" s="17" t="s">
        <v>542</v>
      </c>
      <c r="U101" s="17">
        <v>93</v>
      </c>
      <c r="V101" s="18" t="str">
        <f t="shared" ref="V101:V132" si="7">IFERROR(VLOOKUP(U101, $A$5:$B$53, 2, FALSE), "")</f>
        <v>الدائرة الأولى جزئي</v>
      </c>
      <c r="W101" s="17" t="s">
        <v>64</v>
      </c>
      <c r="X101" s="17" t="s">
        <v>543</v>
      </c>
      <c r="Y101" s="17" t="s">
        <v>137</v>
      </c>
      <c r="Z101" s="18" t="s">
        <v>544</v>
      </c>
      <c r="AJ101" s="17" t="s">
        <v>174</v>
      </c>
    </row>
    <row r="102" spans="6:36" x14ac:dyDescent="0.3">
      <c r="F102" s="18" t="str">
        <f t="shared" si="4"/>
        <v>الدائرة الثالثة جنائي</v>
      </c>
      <c r="G102" s="17">
        <v>51</v>
      </c>
      <c r="H102" s="17" t="s">
        <v>62</v>
      </c>
      <c r="I102" s="17">
        <v>200244</v>
      </c>
      <c r="J102" s="18" t="s">
        <v>280</v>
      </c>
      <c r="K102" s="18" t="s">
        <v>81</v>
      </c>
      <c r="L102" s="17" t="s">
        <v>135</v>
      </c>
      <c r="M102" s="17">
        <v>40</v>
      </c>
      <c r="N102" s="18" t="str">
        <f t="shared" si="5"/>
        <v>محكمة بني سويف الابتدائية</v>
      </c>
      <c r="O102" s="18" t="s">
        <v>172</v>
      </c>
      <c r="P102" s="17" t="s">
        <v>173</v>
      </c>
      <c r="Q102" s="17">
        <v>230223</v>
      </c>
      <c r="R102" s="18" t="s">
        <v>647</v>
      </c>
      <c r="S102" s="17" t="s">
        <v>541</v>
      </c>
      <c r="T102" s="17" t="s">
        <v>542</v>
      </c>
      <c r="U102" s="17">
        <v>94</v>
      </c>
      <c r="V102" s="18" t="str">
        <f t="shared" si="7"/>
        <v>الدائرة الثانية جزئي</v>
      </c>
      <c r="W102" s="17" t="s">
        <v>64</v>
      </c>
      <c r="X102" s="17" t="s">
        <v>543</v>
      </c>
      <c r="Y102" s="17" t="s">
        <v>137</v>
      </c>
      <c r="Z102" s="18" t="s">
        <v>544</v>
      </c>
      <c r="AJ102" s="17" t="s">
        <v>174</v>
      </c>
    </row>
    <row r="103" spans="6:36" x14ac:dyDescent="0.3">
      <c r="F103" s="18" t="str">
        <f t="shared" si="4"/>
        <v>الدائرة الثالثة جنائي</v>
      </c>
      <c r="G103" s="17">
        <v>51</v>
      </c>
      <c r="H103" s="17" t="s">
        <v>62</v>
      </c>
      <c r="I103" s="17">
        <v>200245</v>
      </c>
      <c r="J103" s="18" t="s">
        <v>281</v>
      </c>
      <c r="K103" s="18" t="s">
        <v>86</v>
      </c>
      <c r="L103" s="17" t="s">
        <v>135</v>
      </c>
      <c r="M103" s="17">
        <v>41</v>
      </c>
      <c r="N103" s="18" t="str">
        <f t="shared" si="5"/>
        <v>محكمة بني سويف الابتدائية</v>
      </c>
      <c r="O103" s="18" t="s">
        <v>176</v>
      </c>
      <c r="P103" s="17" t="s">
        <v>177</v>
      </c>
      <c r="Q103" s="17">
        <v>230224</v>
      </c>
      <c r="R103" s="18" t="s">
        <v>648</v>
      </c>
      <c r="S103" s="17" t="s">
        <v>541</v>
      </c>
      <c r="T103" s="17" t="s">
        <v>542</v>
      </c>
      <c r="U103" s="17">
        <v>95</v>
      </c>
      <c r="V103" s="18" t="str">
        <f t="shared" si="7"/>
        <v>الدائرة الثانية عمالية</v>
      </c>
      <c r="W103" s="17" t="s">
        <v>63</v>
      </c>
      <c r="X103" s="17" t="s">
        <v>543</v>
      </c>
      <c r="Y103" s="17" t="s">
        <v>137</v>
      </c>
      <c r="Z103" s="18" t="s">
        <v>544</v>
      </c>
      <c r="AJ103" s="17" t="s">
        <v>174</v>
      </c>
    </row>
    <row r="104" spans="6:36" x14ac:dyDescent="0.3">
      <c r="F104" s="18" t="str">
        <f t="shared" si="4"/>
        <v>الدائرة الثالثة جنائي</v>
      </c>
      <c r="G104" s="17">
        <v>51</v>
      </c>
      <c r="H104" s="17" t="s">
        <v>62</v>
      </c>
      <c r="I104" s="17">
        <v>200246</v>
      </c>
      <c r="J104" s="18" t="s">
        <v>282</v>
      </c>
      <c r="K104" s="18" t="s">
        <v>81</v>
      </c>
      <c r="L104" s="17" t="s">
        <v>136</v>
      </c>
      <c r="M104" s="17">
        <v>42</v>
      </c>
      <c r="N104" s="18" t="str">
        <f t="shared" si="5"/>
        <v>محكمة بني سويف الابتدائية</v>
      </c>
      <c r="O104" s="18" t="s">
        <v>179</v>
      </c>
      <c r="P104" s="17" t="s">
        <v>180</v>
      </c>
      <c r="Q104" s="17">
        <v>230225</v>
      </c>
      <c r="R104" s="18" t="s">
        <v>649</v>
      </c>
      <c r="S104" s="17" t="s">
        <v>546</v>
      </c>
      <c r="T104" s="17" t="s">
        <v>542</v>
      </c>
      <c r="U104" s="17">
        <v>95</v>
      </c>
      <c r="V104" s="18" t="str">
        <f t="shared" si="7"/>
        <v>الدائرة الثانية عمالية</v>
      </c>
      <c r="W104" s="17" t="s">
        <v>63</v>
      </c>
      <c r="X104" s="17" t="s">
        <v>547</v>
      </c>
      <c r="Y104" s="17" t="s">
        <v>137</v>
      </c>
      <c r="Z104" s="18" t="s">
        <v>544</v>
      </c>
      <c r="AJ104" s="17" t="s">
        <v>174</v>
      </c>
    </row>
    <row r="105" spans="6:36" x14ac:dyDescent="0.3">
      <c r="F105" s="18" t="str">
        <f t="shared" si="4"/>
        <v>الدائرة الثالثة جنائي</v>
      </c>
      <c r="G105" s="17">
        <v>51</v>
      </c>
      <c r="H105" s="17" t="s">
        <v>62</v>
      </c>
      <c r="I105" s="17">
        <v>200247</v>
      </c>
      <c r="J105" s="18" t="s">
        <v>283</v>
      </c>
      <c r="K105" s="18" t="s">
        <v>71</v>
      </c>
      <c r="L105" s="17" t="s">
        <v>136</v>
      </c>
      <c r="M105" s="17">
        <v>43</v>
      </c>
      <c r="N105" s="18" t="str">
        <f t="shared" si="5"/>
        <v>محكمة بني سويف الابتدائية</v>
      </c>
      <c r="O105" s="18" t="s">
        <v>172</v>
      </c>
      <c r="P105" s="17" t="s">
        <v>173</v>
      </c>
      <c r="Q105" s="17">
        <v>230226</v>
      </c>
      <c r="R105" s="18" t="s">
        <v>650</v>
      </c>
      <c r="S105" s="17" t="s">
        <v>549</v>
      </c>
      <c r="T105" s="17" t="s">
        <v>542</v>
      </c>
      <c r="U105" s="17">
        <v>95</v>
      </c>
      <c r="V105" s="18" t="str">
        <f t="shared" si="7"/>
        <v>الدائرة الثانية عمالية</v>
      </c>
      <c r="W105" s="17" t="s">
        <v>63</v>
      </c>
      <c r="X105" s="17" t="s">
        <v>550</v>
      </c>
      <c r="Y105" s="17" t="s">
        <v>137</v>
      </c>
      <c r="Z105" s="18" t="s">
        <v>544</v>
      </c>
      <c r="AJ105" s="17" t="s">
        <v>254</v>
      </c>
    </row>
    <row r="106" spans="6:36" x14ac:dyDescent="0.3">
      <c r="F106" s="18" t="str">
        <f t="shared" si="4"/>
        <v>الدائرة الثالثة جنائي</v>
      </c>
      <c r="G106" s="17">
        <v>51</v>
      </c>
      <c r="H106" s="17" t="s">
        <v>62</v>
      </c>
      <c r="I106" s="17">
        <v>200248</v>
      </c>
      <c r="J106" s="18" t="s">
        <v>284</v>
      </c>
      <c r="K106" s="18" t="s">
        <v>78</v>
      </c>
      <c r="L106" s="17" t="s">
        <v>136</v>
      </c>
      <c r="M106" s="17">
        <v>44</v>
      </c>
      <c r="N106" s="18" t="str">
        <f t="shared" si="5"/>
        <v>محكمة بني سويف الابتدائية</v>
      </c>
      <c r="O106" s="18" t="s">
        <v>176</v>
      </c>
      <c r="P106" s="17" t="s">
        <v>177</v>
      </c>
      <c r="Q106" s="17">
        <v>230227</v>
      </c>
      <c r="R106" s="18" t="s">
        <v>651</v>
      </c>
      <c r="S106" s="17" t="s">
        <v>541</v>
      </c>
      <c r="T106" s="17" t="s">
        <v>542</v>
      </c>
      <c r="U106" s="17">
        <v>96</v>
      </c>
      <c r="V106" s="18" t="str">
        <f t="shared" si="7"/>
        <v>الدائرة الثالثة عمالية</v>
      </c>
      <c r="W106" s="17" t="s">
        <v>63</v>
      </c>
      <c r="X106" s="17" t="s">
        <v>543</v>
      </c>
      <c r="Y106" s="17" t="s">
        <v>137</v>
      </c>
      <c r="Z106" s="18" t="s">
        <v>544</v>
      </c>
      <c r="AJ106" s="17" t="s">
        <v>254</v>
      </c>
    </row>
    <row r="107" spans="6:36" x14ac:dyDescent="0.3">
      <c r="F107" s="18" t="str">
        <f t="shared" si="4"/>
        <v>الدائرة الثالثة جنائي</v>
      </c>
      <c r="G107" s="17">
        <v>51</v>
      </c>
      <c r="H107" s="17" t="s">
        <v>62</v>
      </c>
      <c r="I107" s="17">
        <v>200249</v>
      </c>
      <c r="J107" s="18" t="s">
        <v>285</v>
      </c>
      <c r="K107" s="18" t="s">
        <v>75</v>
      </c>
      <c r="L107" s="17" t="s">
        <v>136</v>
      </c>
      <c r="M107" s="17">
        <v>45</v>
      </c>
      <c r="N107" s="18" t="str">
        <f t="shared" si="5"/>
        <v>محكمة بني سويف الابتدائية</v>
      </c>
      <c r="O107" s="18" t="s">
        <v>179</v>
      </c>
      <c r="P107" s="17" t="s">
        <v>180</v>
      </c>
      <c r="Q107" s="17">
        <v>230228</v>
      </c>
      <c r="R107" s="18" t="s">
        <v>652</v>
      </c>
      <c r="S107" s="17" t="s">
        <v>546</v>
      </c>
      <c r="T107" s="17" t="s">
        <v>542</v>
      </c>
      <c r="U107" s="17">
        <v>96</v>
      </c>
      <c r="V107" s="18" t="str">
        <f t="shared" si="7"/>
        <v>الدائرة الثالثة عمالية</v>
      </c>
      <c r="W107" s="17" t="s">
        <v>63</v>
      </c>
      <c r="X107" s="17" t="s">
        <v>547</v>
      </c>
      <c r="Y107" s="17" t="s">
        <v>137</v>
      </c>
      <c r="Z107" s="18" t="s">
        <v>544</v>
      </c>
      <c r="AJ107" s="17" t="s">
        <v>254</v>
      </c>
    </row>
    <row r="108" spans="6:36" x14ac:dyDescent="0.3">
      <c r="F108" s="18" t="str">
        <f t="shared" si="4"/>
        <v>الدائرة الثالثة جنائي</v>
      </c>
      <c r="G108" s="17">
        <v>51</v>
      </c>
      <c r="H108" s="17" t="s">
        <v>62</v>
      </c>
      <c r="I108" s="17">
        <v>200250</v>
      </c>
      <c r="J108" s="18" t="s">
        <v>286</v>
      </c>
      <c r="K108" s="18" t="s">
        <v>77</v>
      </c>
      <c r="L108" s="17" t="s">
        <v>136</v>
      </c>
      <c r="M108" s="17">
        <v>46</v>
      </c>
      <c r="N108" s="18" t="str">
        <f t="shared" si="5"/>
        <v>محكمة بني سويف الابتدائية</v>
      </c>
      <c r="O108" s="18" t="s">
        <v>172</v>
      </c>
      <c r="P108" s="17" t="s">
        <v>173</v>
      </c>
      <c r="Q108" s="17">
        <v>230229</v>
      </c>
      <c r="R108" s="18" t="s">
        <v>653</v>
      </c>
      <c r="S108" s="17" t="s">
        <v>549</v>
      </c>
      <c r="T108" s="17" t="s">
        <v>542</v>
      </c>
      <c r="U108" s="17">
        <v>96</v>
      </c>
      <c r="V108" s="18" t="str">
        <f t="shared" si="7"/>
        <v>الدائرة الثالثة عمالية</v>
      </c>
      <c r="W108" s="17" t="s">
        <v>63</v>
      </c>
      <c r="X108" s="17" t="s">
        <v>550</v>
      </c>
      <c r="Y108" s="17" t="s">
        <v>137</v>
      </c>
      <c r="Z108" s="18" t="s">
        <v>544</v>
      </c>
      <c r="AJ108" s="17" t="s">
        <v>254</v>
      </c>
    </row>
    <row r="109" spans="6:36" x14ac:dyDescent="0.3">
      <c r="F109" s="18" t="str">
        <f t="shared" si="4"/>
        <v>الدائرة الثالثة جنائي</v>
      </c>
      <c r="G109" s="17">
        <v>51</v>
      </c>
      <c r="H109" s="17" t="s">
        <v>62</v>
      </c>
      <c r="I109" s="17">
        <v>200251</v>
      </c>
      <c r="J109" s="18" t="s">
        <v>287</v>
      </c>
      <c r="K109" s="18" t="s">
        <v>76</v>
      </c>
      <c r="L109" s="17" t="s">
        <v>136</v>
      </c>
      <c r="M109" s="17">
        <v>47</v>
      </c>
      <c r="N109" s="18" t="str">
        <f t="shared" si="5"/>
        <v>محكمة بني سويف الابتدائية</v>
      </c>
      <c r="O109" s="18" t="s">
        <v>176</v>
      </c>
      <c r="P109" s="17" t="s">
        <v>177</v>
      </c>
      <c r="Q109" s="17">
        <v>81</v>
      </c>
      <c r="R109" s="18" t="s">
        <v>654</v>
      </c>
      <c r="S109" s="17" t="s">
        <v>541</v>
      </c>
      <c r="T109" s="17" t="s">
        <v>542</v>
      </c>
      <c r="U109" s="17">
        <v>97</v>
      </c>
      <c r="V109" s="18" t="str">
        <f t="shared" si="7"/>
        <v>الدائرة الأولى عمالية</v>
      </c>
      <c r="W109" s="17" t="s">
        <v>63</v>
      </c>
      <c r="X109" s="17" t="s">
        <v>543</v>
      </c>
      <c r="Y109" s="17" t="s">
        <v>137</v>
      </c>
      <c r="Z109" s="18" t="s">
        <v>544</v>
      </c>
      <c r="AJ109" s="17" t="s">
        <v>254</v>
      </c>
    </row>
    <row r="110" spans="6:36" x14ac:dyDescent="0.3">
      <c r="F110" s="18" t="str">
        <f t="shared" si="4"/>
        <v>الدائرة الثالثة جنائي</v>
      </c>
      <c r="G110" s="17">
        <v>51</v>
      </c>
      <c r="H110" s="17" t="s">
        <v>62</v>
      </c>
      <c r="I110" s="17">
        <v>200252</v>
      </c>
      <c r="J110" s="18" t="s">
        <v>288</v>
      </c>
      <c r="K110" s="18" t="s">
        <v>79</v>
      </c>
      <c r="L110" s="17" t="s">
        <v>136</v>
      </c>
      <c r="M110" s="17">
        <v>48</v>
      </c>
      <c r="N110" s="18" t="str">
        <f t="shared" si="5"/>
        <v>محكمة بني سويف الابتدائية</v>
      </c>
      <c r="O110" s="18" t="s">
        <v>179</v>
      </c>
      <c r="P110" s="17" t="s">
        <v>180</v>
      </c>
      <c r="Q110" s="17">
        <v>230230</v>
      </c>
      <c r="R110" s="18" t="s">
        <v>655</v>
      </c>
      <c r="S110" s="17" t="s">
        <v>546</v>
      </c>
      <c r="T110" s="17" t="s">
        <v>542</v>
      </c>
      <c r="U110" s="17">
        <v>97</v>
      </c>
      <c r="V110" s="18" t="str">
        <f t="shared" si="7"/>
        <v>الدائرة الأولى عمالية</v>
      </c>
      <c r="W110" s="17" t="s">
        <v>63</v>
      </c>
      <c r="X110" s="17" t="s">
        <v>547</v>
      </c>
      <c r="Y110" s="17" t="s">
        <v>137</v>
      </c>
      <c r="Z110" s="18" t="s">
        <v>544</v>
      </c>
      <c r="AJ110" s="17" t="s">
        <v>254</v>
      </c>
    </row>
    <row r="111" spans="6:36" x14ac:dyDescent="0.3">
      <c r="F111" s="18" t="str">
        <f t="shared" si="4"/>
        <v>الدائرة الرابعة جنائي</v>
      </c>
      <c r="G111" s="17">
        <v>52</v>
      </c>
      <c r="H111" s="17" t="s">
        <v>62</v>
      </c>
      <c r="I111" s="17">
        <v>200253</v>
      </c>
      <c r="J111" s="18" t="s">
        <v>289</v>
      </c>
      <c r="K111" s="18" t="s">
        <v>81</v>
      </c>
      <c r="L111" s="17" t="s">
        <v>131</v>
      </c>
      <c r="M111" s="17">
        <v>49</v>
      </c>
      <c r="N111" s="18" t="str">
        <f t="shared" si="5"/>
        <v>محكمة بني سويف الابتدائية</v>
      </c>
      <c r="O111" s="18" t="s">
        <v>172</v>
      </c>
      <c r="P111" s="17" t="s">
        <v>173</v>
      </c>
      <c r="Q111" s="17">
        <v>230231</v>
      </c>
      <c r="R111" s="18" t="s">
        <v>656</v>
      </c>
      <c r="S111" s="17" t="s">
        <v>549</v>
      </c>
      <c r="T111" s="17" t="s">
        <v>542</v>
      </c>
      <c r="U111" s="17">
        <v>97</v>
      </c>
      <c r="V111" s="18" t="str">
        <f t="shared" si="7"/>
        <v>الدائرة الأولى عمالية</v>
      </c>
      <c r="W111" s="17" t="s">
        <v>63</v>
      </c>
      <c r="X111" s="17" t="s">
        <v>550</v>
      </c>
      <c r="Y111" s="17" t="s">
        <v>137</v>
      </c>
      <c r="Z111" s="18" t="s">
        <v>544</v>
      </c>
      <c r="AJ111" s="17" t="s">
        <v>174</v>
      </c>
    </row>
    <row r="112" spans="6:36" x14ac:dyDescent="0.3">
      <c r="F112" s="18" t="str">
        <f t="shared" si="4"/>
        <v>الدائرة الرابعة جنائي</v>
      </c>
      <c r="G112" s="17">
        <v>52</v>
      </c>
      <c r="H112" s="17" t="s">
        <v>62</v>
      </c>
      <c r="I112" s="17">
        <v>200254</v>
      </c>
      <c r="J112" s="18" t="s">
        <v>290</v>
      </c>
      <c r="K112" s="18" t="s">
        <v>71</v>
      </c>
      <c r="L112" s="17" t="s">
        <v>131</v>
      </c>
      <c r="M112" s="17">
        <v>50</v>
      </c>
      <c r="N112" s="18" t="str">
        <f t="shared" si="5"/>
        <v>محكمة بني سويف الابتدائية</v>
      </c>
      <c r="O112" s="18" t="s">
        <v>176</v>
      </c>
      <c r="P112" s="17" t="s">
        <v>177</v>
      </c>
      <c r="AJ112" s="17" t="s">
        <v>254</v>
      </c>
    </row>
    <row r="113" spans="6:36" x14ac:dyDescent="0.3">
      <c r="F113" s="18" t="str">
        <f t="shared" si="4"/>
        <v>الدائرة الرابعة جنائي</v>
      </c>
      <c r="G113" s="17">
        <v>52</v>
      </c>
      <c r="H113" s="17" t="s">
        <v>62</v>
      </c>
      <c r="I113" s="17">
        <v>200255</v>
      </c>
      <c r="J113" s="18" t="s">
        <v>291</v>
      </c>
      <c r="K113" s="18" t="s">
        <v>80</v>
      </c>
      <c r="L113" s="17" t="s">
        <v>131</v>
      </c>
      <c r="M113" s="17">
        <v>51</v>
      </c>
      <c r="N113" s="18" t="str">
        <f t="shared" si="5"/>
        <v>محكمة بني سويف الابتدائية</v>
      </c>
      <c r="O113" s="18" t="s">
        <v>179</v>
      </c>
      <c r="P113" s="17" t="s">
        <v>180</v>
      </c>
      <c r="AJ113" s="17" t="s">
        <v>254</v>
      </c>
    </row>
    <row r="114" spans="6:36" x14ac:dyDescent="0.3">
      <c r="F114" s="18" t="str">
        <f t="shared" si="4"/>
        <v>الدائرة الرابعة جنائي</v>
      </c>
      <c r="G114" s="17">
        <v>52</v>
      </c>
      <c r="H114" s="17" t="s">
        <v>62</v>
      </c>
      <c r="I114" s="17">
        <v>200256</v>
      </c>
      <c r="J114" s="18" t="s">
        <v>290</v>
      </c>
      <c r="K114" s="18" t="s">
        <v>71</v>
      </c>
      <c r="L114" s="17" t="s">
        <v>131</v>
      </c>
      <c r="M114" s="17">
        <v>52</v>
      </c>
      <c r="N114" s="18" t="str">
        <f t="shared" si="5"/>
        <v>محكمة بني سويف الابتدائية</v>
      </c>
      <c r="O114" s="18" t="s">
        <v>172</v>
      </c>
      <c r="P114" s="17" t="s">
        <v>173</v>
      </c>
      <c r="AJ114" s="17" t="s">
        <v>254</v>
      </c>
    </row>
    <row r="115" spans="6:36" x14ac:dyDescent="0.3">
      <c r="F115" s="18" t="str">
        <f t="shared" si="4"/>
        <v>الدائرة الرابعة جنائي</v>
      </c>
      <c r="G115" s="17">
        <v>52</v>
      </c>
      <c r="H115" s="17" t="s">
        <v>62</v>
      </c>
      <c r="I115" s="17">
        <v>200257</v>
      </c>
      <c r="J115" s="18" t="s">
        <v>292</v>
      </c>
      <c r="K115" s="18" t="s">
        <v>78</v>
      </c>
      <c r="L115" s="17" t="s">
        <v>131</v>
      </c>
      <c r="M115" s="17">
        <v>53</v>
      </c>
      <c r="N115" s="18" t="str">
        <f t="shared" si="5"/>
        <v>محكمة بني سويف الابتدائية</v>
      </c>
      <c r="O115" s="18" t="s">
        <v>176</v>
      </c>
      <c r="P115" s="17" t="s">
        <v>177</v>
      </c>
      <c r="AJ115" s="17" t="s">
        <v>254</v>
      </c>
    </row>
    <row r="116" spans="6:36" x14ac:dyDescent="0.3">
      <c r="F116" s="18" t="str">
        <f t="shared" si="4"/>
        <v>الدائرة الرابعة جنائي</v>
      </c>
      <c r="G116" s="17">
        <v>52</v>
      </c>
      <c r="H116" s="17" t="s">
        <v>62</v>
      </c>
      <c r="I116" s="17">
        <v>200258</v>
      </c>
      <c r="J116" s="18" t="s">
        <v>293</v>
      </c>
      <c r="K116" s="18" t="s">
        <v>75</v>
      </c>
      <c r="L116" s="17" t="s">
        <v>131</v>
      </c>
      <c r="M116" s="17">
        <v>54</v>
      </c>
      <c r="N116" s="18" t="str">
        <f t="shared" si="5"/>
        <v>محكمة بني سويف الابتدائية</v>
      </c>
      <c r="O116" s="18" t="s">
        <v>179</v>
      </c>
      <c r="P116" s="17" t="s">
        <v>180</v>
      </c>
      <c r="AJ116" s="17" t="s">
        <v>254</v>
      </c>
    </row>
    <row r="117" spans="6:36" x14ac:dyDescent="0.3">
      <c r="F117" s="18" t="str">
        <f t="shared" si="4"/>
        <v>الدائرة الرابعة جنائي</v>
      </c>
      <c r="G117" s="17">
        <v>52</v>
      </c>
      <c r="H117" s="17" t="s">
        <v>62</v>
      </c>
      <c r="I117" s="17">
        <v>200259</v>
      </c>
      <c r="J117" s="18" t="s">
        <v>294</v>
      </c>
      <c r="K117" s="18" t="s">
        <v>77</v>
      </c>
      <c r="L117" s="17" t="s">
        <v>131</v>
      </c>
      <c r="M117" s="17">
        <v>55</v>
      </c>
      <c r="N117" s="18" t="str">
        <f t="shared" si="5"/>
        <v>محكمة بني سويف الابتدائية</v>
      </c>
      <c r="O117" s="18" t="s">
        <v>172</v>
      </c>
      <c r="P117" s="17" t="s">
        <v>173</v>
      </c>
      <c r="AJ117" s="17" t="s">
        <v>254</v>
      </c>
    </row>
    <row r="118" spans="6:36" x14ac:dyDescent="0.3">
      <c r="F118" s="18" t="str">
        <f t="shared" si="4"/>
        <v>الدائرة الرابعة جنائي</v>
      </c>
      <c r="G118" s="17">
        <v>52</v>
      </c>
      <c r="H118" s="17" t="s">
        <v>62</v>
      </c>
      <c r="I118" s="17">
        <v>200260</v>
      </c>
      <c r="J118" s="18" t="s">
        <v>295</v>
      </c>
      <c r="K118" s="18" t="s">
        <v>76</v>
      </c>
      <c r="L118" s="17" t="s">
        <v>131</v>
      </c>
      <c r="M118" s="17">
        <v>56</v>
      </c>
      <c r="N118" s="18" t="str">
        <f t="shared" si="5"/>
        <v>محكمة بني سويف الابتدائية</v>
      </c>
      <c r="O118" s="18" t="s">
        <v>176</v>
      </c>
      <c r="P118" s="17" t="s">
        <v>177</v>
      </c>
      <c r="AJ118" s="17" t="s">
        <v>254</v>
      </c>
    </row>
    <row r="119" spans="6:36" x14ac:dyDescent="0.3">
      <c r="F119" s="18" t="str">
        <f t="shared" si="4"/>
        <v>الدائرة الرابعة جنائي</v>
      </c>
      <c r="G119" s="17">
        <v>52</v>
      </c>
      <c r="H119" s="17" t="s">
        <v>62</v>
      </c>
      <c r="I119" s="17">
        <v>200261</v>
      </c>
      <c r="J119" s="18" t="s">
        <v>296</v>
      </c>
      <c r="K119" s="18" t="s">
        <v>79</v>
      </c>
      <c r="L119" s="17" t="s">
        <v>131</v>
      </c>
      <c r="M119" s="17">
        <v>57</v>
      </c>
      <c r="N119" s="18" t="str">
        <f t="shared" si="5"/>
        <v>محكمة بني سويف الابتدائية</v>
      </c>
      <c r="O119" s="18" t="s">
        <v>179</v>
      </c>
      <c r="P119" s="17" t="s">
        <v>180</v>
      </c>
      <c r="AJ119" s="17" t="s">
        <v>254</v>
      </c>
    </row>
    <row r="120" spans="6:36" x14ac:dyDescent="0.3">
      <c r="F120" s="18" t="str">
        <f t="shared" si="4"/>
        <v>الدائرة الرابعة جنائي</v>
      </c>
      <c r="G120" s="17">
        <v>52</v>
      </c>
      <c r="H120" s="17" t="s">
        <v>62</v>
      </c>
      <c r="I120" s="17">
        <v>200262</v>
      </c>
      <c r="J120" s="18" t="s">
        <v>297</v>
      </c>
      <c r="K120" s="18" t="s">
        <v>81</v>
      </c>
      <c r="L120" s="17" t="s">
        <v>132</v>
      </c>
      <c r="M120" s="17">
        <v>58</v>
      </c>
      <c r="N120" s="18" t="str">
        <f t="shared" si="5"/>
        <v>محكمة بني سويف الابتدائية</v>
      </c>
      <c r="O120" s="18" t="s">
        <v>172</v>
      </c>
      <c r="P120" s="17" t="s">
        <v>173</v>
      </c>
      <c r="AJ120" s="17" t="s">
        <v>174</v>
      </c>
    </row>
    <row r="121" spans="6:36" x14ac:dyDescent="0.3">
      <c r="F121" s="18" t="str">
        <f t="shared" si="4"/>
        <v>الدائرة الرابعة جنائي</v>
      </c>
      <c r="G121" s="17">
        <v>52</v>
      </c>
      <c r="H121" s="17" t="s">
        <v>62</v>
      </c>
      <c r="I121" s="17">
        <v>200263</v>
      </c>
      <c r="J121" s="18" t="s">
        <v>298</v>
      </c>
      <c r="K121" s="18" t="s">
        <v>84</v>
      </c>
      <c r="L121" s="17" t="s">
        <v>132</v>
      </c>
      <c r="M121" s="17">
        <v>59</v>
      </c>
      <c r="N121" s="18" t="str">
        <f t="shared" si="5"/>
        <v>محكمة بني سويف الابتدائية</v>
      </c>
      <c r="O121" s="18" t="s">
        <v>176</v>
      </c>
      <c r="P121" s="17" t="s">
        <v>177</v>
      </c>
      <c r="AJ121" s="17" t="s">
        <v>174</v>
      </c>
    </row>
    <row r="122" spans="6:36" x14ac:dyDescent="0.3">
      <c r="F122" s="18" t="str">
        <f t="shared" si="4"/>
        <v>الدائرة الرابعة جنائي</v>
      </c>
      <c r="G122" s="17">
        <v>52</v>
      </c>
      <c r="H122" s="17" t="s">
        <v>62</v>
      </c>
      <c r="I122" s="17">
        <v>200264</v>
      </c>
      <c r="J122" s="18" t="s">
        <v>299</v>
      </c>
      <c r="K122" s="18" t="s">
        <v>81</v>
      </c>
      <c r="L122" s="17" t="s">
        <v>133</v>
      </c>
      <c r="M122" s="17">
        <v>60</v>
      </c>
      <c r="N122" s="18" t="str">
        <f t="shared" si="5"/>
        <v>محكمة بني سويف الابتدائية</v>
      </c>
      <c r="O122" s="18" t="s">
        <v>179</v>
      </c>
      <c r="P122" s="17" t="s">
        <v>180</v>
      </c>
      <c r="AJ122" s="17" t="s">
        <v>174</v>
      </c>
    </row>
    <row r="123" spans="6:36" x14ac:dyDescent="0.3">
      <c r="F123" s="18" t="str">
        <f t="shared" si="4"/>
        <v>الدائرة الرابعة جنائي</v>
      </c>
      <c r="G123" s="17">
        <v>52</v>
      </c>
      <c r="H123" s="17" t="s">
        <v>62</v>
      </c>
      <c r="I123" s="17">
        <v>200265</v>
      </c>
      <c r="J123" s="18" t="s">
        <v>300</v>
      </c>
      <c r="K123" s="18" t="s">
        <v>86</v>
      </c>
      <c r="L123" s="17" t="s">
        <v>133</v>
      </c>
      <c r="M123" s="17">
        <v>61</v>
      </c>
      <c r="N123" s="18" t="str">
        <f t="shared" si="5"/>
        <v>محكمة بني سويف الابتدائية</v>
      </c>
      <c r="O123" s="18" t="s">
        <v>172</v>
      </c>
      <c r="P123" s="17" t="s">
        <v>173</v>
      </c>
      <c r="AJ123" s="17" t="s">
        <v>174</v>
      </c>
    </row>
    <row r="124" spans="6:36" x14ac:dyDescent="0.3">
      <c r="F124" s="18" t="str">
        <f t="shared" si="4"/>
        <v>الدائرة الرابعة جنائي</v>
      </c>
      <c r="G124" s="17">
        <v>52</v>
      </c>
      <c r="H124" s="17" t="s">
        <v>62</v>
      </c>
      <c r="I124" s="17">
        <v>200266</v>
      </c>
      <c r="J124" s="18" t="s">
        <v>301</v>
      </c>
      <c r="K124" s="18" t="s">
        <v>83</v>
      </c>
      <c r="L124" s="17" t="s">
        <v>133</v>
      </c>
      <c r="M124" s="17">
        <v>62</v>
      </c>
      <c r="N124" s="18" t="str">
        <f t="shared" si="5"/>
        <v>محكمة بني سويف الابتدائية</v>
      </c>
      <c r="O124" s="18" t="s">
        <v>176</v>
      </c>
      <c r="P124" s="17" t="s">
        <v>177</v>
      </c>
      <c r="AJ124" s="17" t="s">
        <v>254</v>
      </c>
    </row>
    <row r="125" spans="6:36" x14ac:dyDescent="0.3">
      <c r="F125" s="18" t="str">
        <f t="shared" si="4"/>
        <v>الدائرة الخامسة جنائي</v>
      </c>
      <c r="G125" s="17">
        <v>53</v>
      </c>
      <c r="H125" s="17" t="s">
        <v>62</v>
      </c>
      <c r="I125" s="17">
        <v>200267</v>
      </c>
      <c r="J125" s="18" t="s">
        <v>302</v>
      </c>
      <c r="K125" s="18" t="s">
        <v>81</v>
      </c>
      <c r="L125" s="17" t="s">
        <v>134</v>
      </c>
      <c r="M125" s="17">
        <v>63</v>
      </c>
      <c r="N125" s="18" t="str">
        <f t="shared" si="5"/>
        <v>محكمة بني سويف الابتدائية</v>
      </c>
      <c r="O125" s="18" t="s">
        <v>193</v>
      </c>
      <c r="P125" s="17" t="s">
        <v>194</v>
      </c>
      <c r="AJ125" s="17" t="s">
        <v>174</v>
      </c>
    </row>
    <row r="126" spans="6:36" x14ac:dyDescent="0.3">
      <c r="F126" s="18" t="str">
        <f t="shared" si="4"/>
        <v>الدائرة الخامسة جنائي</v>
      </c>
      <c r="G126" s="17">
        <v>53</v>
      </c>
      <c r="H126" s="17" t="s">
        <v>62</v>
      </c>
      <c r="I126" s="17">
        <v>200268</v>
      </c>
      <c r="J126" s="18" t="s">
        <v>303</v>
      </c>
      <c r="K126" s="18" t="s">
        <v>86</v>
      </c>
      <c r="L126" s="17" t="s">
        <v>134</v>
      </c>
      <c r="M126" s="17">
        <v>64</v>
      </c>
      <c r="N126" s="18" t="str">
        <f t="shared" si="5"/>
        <v>محكمة بني سويف الابتدائية</v>
      </c>
      <c r="O126" s="18" t="s">
        <v>195</v>
      </c>
      <c r="P126" s="17" t="s">
        <v>196</v>
      </c>
      <c r="AJ126" s="17" t="s">
        <v>174</v>
      </c>
    </row>
    <row r="127" spans="6:36" x14ac:dyDescent="0.3">
      <c r="F127" s="18" t="str">
        <f t="shared" si="4"/>
        <v>الدائرة الخامسة جنائي</v>
      </c>
      <c r="G127" s="17">
        <v>53</v>
      </c>
      <c r="H127" s="17" t="s">
        <v>62</v>
      </c>
      <c r="I127" s="17">
        <v>200269</v>
      </c>
      <c r="J127" s="18" t="s">
        <v>304</v>
      </c>
      <c r="K127" s="18" t="s">
        <v>71</v>
      </c>
      <c r="L127" s="17" t="s">
        <v>134</v>
      </c>
      <c r="M127" s="17">
        <v>65</v>
      </c>
      <c r="N127" s="18" t="str">
        <f t="shared" si="5"/>
        <v>محكمة بني سويف الابتدائية</v>
      </c>
      <c r="O127" s="18" t="s">
        <v>193</v>
      </c>
      <c r="P127" s="17" t="s">
        <v>194</v>
      </c>
      <c r="AJ127" s="17" t="s">
        <v>254</v>
      </c>
    </row>
    <row r="128" spans="6:36" x14ac:dyDescent="0.3">
      <c r="F128" s="18" t="str">
        <f t="shared" si="4"/>
        <v>الدائرة الخامسة جنائي</v>
      </c>
      <c r="G128" s="17">
        <v>53</v>
      </c>
      <c r="H128" s="17" t="s">
        <v>62</v>
      </c>
      <c r="I128" s="17">
        <v>200270</v>
      </c>
      <c r="J128" s="18" t="s">
        <v>305</v>
      </c>
      <c r="K128" s="18" t="s">
        <v>78</v>
      </c>
      <c r="L128" s="17" t="s">
        <v>134</v>
      </c>
      <c r="M128" s="17">
        <v>66</v>
      </c>
      <c r="N128" s="18" t="str">
        <f t="shared" si="5"/>
        <v>محكمة بني سويف الابتدائية</v>
      </c>
      <c r="O128" s="18" t="s">
        <v>195</v>
      </c>
      <c r="P128" s="17" t="s">
        <v>196</v>
      </c>
      <c r="AJ128" s="17" t="s">
        <v>254</v>
      </c>
    </row>
    <row r="129" spans="6:36" x14ac:dyDescent="0.3">
      <c r="F129" s="18" t="str">
        <f t="shared" si="4"/>
        <v>الدائرة الخامسة جنائي</v>
      </c>
      <c r="G129" s="17">
        <v>53</v>
      </c>
      <c r="H129" s="17" t="s">
        <v>62</v>
      </c>
      <c r="I129" s="17">
        <v>200271</v>
      </c>
      <c r="J129" s="18" t="s">
        <v>306</v>
      </c>
      <c r="K129" s="18" t="s">
        <v>75</v>
      </c>
      <c r="L129" s="17" t="s">
        <v>134</v>
      </c>
      <c r="M129" s="17">
        <v>67</v>
      </c>
      <c r="N129" s="18" t="str">
        <f t="shared" si="5"/>
        <v>محكمة بني سويف الابتدائية</v>
      </c>
      <c r="O129" s="18" t="s">
        <v>193</v>
      </c>
      <c r="P129" s="17" t="s">
        <v>194</v>
      </c>
      <c r="AJ129" s="17" t="s">
        <v>254</v>
      </c>
    </row>
    <row r="130" spans="6:36" x14ac:dyDescent="0.3">
      <c r="F130" s="18" t="str">
        <f t="shared" si="4"/>
        <v>الدائرة الخامسة جنائي</v>
      </c>
      <c r="G130" s="17">
        <v>53</v>
      </c>
      <c r="H130" s="17" t="s">
        <v>62</v>
      </c>
      <c r="I130" s="17">
        <v>200272</v>
      </c>
      <c r="J130" s="18" t="s">
        <v>307</v>
      </c>
      <c r="K130" s="18" t="s">
        <v>77</v>
      </c>
      <c r="L130" s="17" t="s">
        <v>134</v>
      </c>
      <c r="M130" s="17">
        <v>68</v>
      </c>
      <c r="N130" s="18" t="str">
        <f t="shared" si="5"/>
        <v>محكمة بني سويف الابتدائية</v>
      </c>
      <c r="O130" s="18" t="s">
        <v>195</v>
      </c>
      <c r="P130" s="17" t="s">
        <v>196</v>
      </c>
      <c r="AJ130" s="17" t="s">
        <v>254</v>
      </c>
    </row>
    <row r="131" spans="6:36" x14ac:dyDescent="0.3">
      <c r="F131" s="18" t="str">
        <f t="shared" si="4"/>
        <v>الدائرة الخامسة جنائي</v>
      </c>
      <c r="G131" s="17">
        <v>53</v>
      </c>
      <c r="H131" s="17" t="s">
        <v>62</v>
      </c>
      <c r="I131" s="17">
        <v>200273</v>
      </c>
      <c r="J131" s="18" t="s">
        <v>308</v>
      </c>
      <c r="K131" s="18" t="s">
        <v>76</v>
      </c>
      <c r="L131" s="17" t="s">
        <v>134</v>
      </c>
      <c r="M131" s="17">
        <v>69</v>
      </c>
      <c r="N131" s="18" t="str">
        <f t="shared" si="5"/>
        <v>محكمة بني سويف الابتدائية</v>
      </c>
      <c r="O131" s="18" t="s">
        <v>193</v>
      </c>
      <c r="P131" s="17" t="s">
        <v>194</v>
      </c>
      <c r="AJ131" s="17" t="s">
        <v>254</v>
      </c>
    </row>
    <row r="132" spans="6:36" x14ac:dyDescent="0.3">
      <c r="F132" s="18" t="str">
        <f t="shared" si="4"/>
        <v>الدائرة الخامسة جنائي</v>
      </c>
      <c r="G132" s="17">
        <v>53</v>
      </c>
      <c r="H132" s="17" t="s">
        <v>62</v>
      </c>
      <c r="I132" s="17">
        <v>200274</v>
      </c>
      <c r="J132" s="18" t="s">
        <v>309</v>
      </c>
      <c r="K132" s="18" t="s">
        <v>79</v>
      </c>
      <c r="L132" s="17" t="s">
        <v>134</v>
      </c>
      <c r="M132" s="17">
        <v>70</v>
      </c>
      <c r="N132" s="18" t="str">
        <f t="shared" si="5"/>
        <v>محكمة بني سويف الابتدائية</v>
      </c>
      <c r="O132" s="18" t="s">
        <v>195</v>
      </c>
      <c r="P132" s="17" t="s">
        <v>196</v>
      </c>
      <c r="AJ132" s="17" t="s">
        <v>254</v>
      </c>
    </row>
    <row r="133" spans="6:36" x14ac:dyDescent="0.3">
      <c r="F133" s="18" t="str">
        <f t="shared" ref="F133:F196" si="8">IFERROR(VLOOKUP(G133, $A$5:$B$53, 2, FALSE), "")</f>
        <v>الدائرة الخامسة جنائي</v>
      </c>
      <c r="G133" s="17">
        <v>53</v>
      </c>
      <c r="H133" s="17" t="s">
        <v>62</v>
      </c>
      <c r="I133" s="17">
        <v>200275</v>
      </c>
      <c r="J133" s="18" t="s">
        <v>310</v>
      </c>
      <c r="K133" s="18" t="s">
        <v>81</v>
      </c>
      <c r="L133" s="17" t="s">
        <v>135</v>
      </c>
      <c r="M133" s="17">
        <v>71</v>
      </c>
      <c r="N133" s="18" t="str">
        <f t="shared" ref="N133:N196" si="9">IFERROR(VLOOKUP(G133, $A$5:$C$53, 3, FALSE), "")</f>
        <v>محكمة بني سويف الابتدائية</v>
      </c>
      <c r="O133" s="18" t="s">
        <v>193</v>
      </c>
      <c r="P133" s="17" t="s">
        <v>194</v>
      </c>
      <c r="AJ133" s="17" t="s">
        <v>174</v>
      </c>
    </row>
    <row r="134" spans="6:36" x14ac:dyDescent="0.3">
      <c r="F134" s="18" t="str">
        <f t="shared" si="8"/>
        <v>الدائرة الخامسة جنائي</v>
      </c>
      <c r="G134" s="17">
        <v>53</v>
      </c>
      <c r="H134" s="17" t="s">
        <v>62</v>
      </c>
      <c r="I134" s="17">
        <v>200276</v>
      </c>
      <c r="J134" s="18" t="s">
        <v>311</v>
      </c>
      <c r="K134" s="18" t="s">
        <v>80</v>
      </c>
      <c r="L134" s="17" t="s">
        <v>135</v>
      </c>
      <c r="M134" s="17">
        <v>72</v>
      </c>
      <c r="N134" s="18" t="str">
        <f t="shared" si="9"/>
        <v>محكمة بني سويف الابتدائية</v>
      </c>
      <c r="O134" s="18" t="s">
        <v>195</v>
      </c>
      <c r="P134" s="17" t="s">
        <v>196</v>
      </c>
      <c r="AJ134" s="17" t="s">
        <v>254</v>
      </c>
    </row>
    <row r="135" spans="6:36" x14ac:dyDescent="0.3">
      <c r="F135" s="18" t="str">
        <f t="shared" si="8"/>
        <v>الدائرة الخامسة جنائي</v>
      </c>
      <c r="G135" s="17">
        <v>53</v>
      </c>
      <c r="H135" s="17" t="s">
        <v>62</v>
      </c>
      <c r="I135" s="17">
        <v>200277</v>
      </c>
      <c r="J135" s="18" t="s">
        <v>312</v>
      </c>
      <c r="K135" s="18" t="s">
        <v>81</v>
      </c>
      <c r="L135" s="17" t="s">
        <v>136</v>
      </c>
      <c r="M135" s="17">
        <v>73</v>
      </c>
      <c r="N135" s="18" t="str">
        <f t="shared" si="9"/>
        <v>محكمة بني سويف الابتدائية</v>
      </c>
      <c r="O135" s="18" t="s">
        <v>193</v>
      </c>
      <c r="P135" s="17" t="s">
        <v>194</v>
      </c>
      <c r="AJ135" s="17" t="s">
        <v>174</v>
      </c>
    </row>
    <row r="136" spans="6:36" x14ac:dyDescent="0.3">
      <c r="F136" s="18" t="str">
        <f t="shared" si="8"/>
        <v>الدائرة الخامسة جنائي</v>
      </c>
      <c r="G136" s="17">
        <v>53</v>
      </c>
      <c r="H136" s="17" t="s">
        <v>62</v>
      </c>
      <c r="I136" s="17">
        <v>200278</v>
      </c>
      <c r="J136" s="18" t="s">
        <v>313</v>
      </c>
      <c r="K136" s="18" t="s">
        <v>83</v>
      </c>
      <c r="L136" s="17" t="s">
        <v>136</v>
      </c>
      <c r="M136" s="17">
        <v>74</v>
      </c>
      <c r="N136" s="18" t="str">
        <f t="shared" si="9"/>
        <v>محكمة بني سويف الابتدائية</v>
      </c>
      <c r="O136" s="18" t="s">
        <v>195</v>
      </c>
      <c r="P136" s="17" t="s">
        <v>196</v>
      </c>
      <c r="AJ136" s="17" t="s">
        <v>254</v>
      </c>
    </row>
    <row r="137" spans="6:36" x14ac:dyDescent="0.3">
      <c r="F137" s="18" t="str">
        <f t="shared" si="8"/>
        <v>الدائرة السادسة جنائي</v>
      </c>
      <c r="G137" s="17">
        <v>54</v>
      </c>
      <c r="H137" s="17" t="s">
        <v>62</v>
      </c>
      <c r="I137" s="17">
        <v>200279</v>
      </c>
      <c r="J137" s="18" t="s">
        <v>314</v>
      </c>
      <c r="K137" s="18" t="s">
        <v>81</v>
      </c>
      <c r="L137" s="17" t="s">
        <v>131</v>
      </c>
      <c r="M137" s="17">
        <v>75</v>
      </c>
      <c r="N137" s="18" t="str">
        <f t="shared" si="9"/>
        <v>محكمة بني سويف الابتدائية</v>
      </c>
      <c r="O137" s="18" t="s">
        <v>204</v>
      </c>
      <c r="P137" s="17" t="s">
        <v>205</v>
      </c>
      <c r="AJ137" s="17" t="s">
        <v>174</v>
      </c>
    </row>
    <row r="138" spans="6:36" x14ac:dyDescent="0.3">
      <c r="F138" s="18" t="str">
        <f t="shared" si="8"/>
        <v>الدائرة السادسة جنائي</v>
      </c>
      <c r="G138" s="17">
        <v>54</v>
      </c>
      <c r="H138" s="17" t="s">
        <v>62</v>
      </c>
      <c r="I138" s="17">
        <v>200280</v>
      </c>
      <c r="J138" s="18" t="s">
        <v>315</v>
      </c>
      <c r="K138" s="18" t="s">
        <v>83</v>
      </c>
      <c r="L138" s="17" t="s">
        <v>131</v>
      </c>
      <c r="M138" s="17">
        <v>76</v>
      </c>
      <c r="N138" s="18" t="str">
        <f t="shared" si="9"/>
        <v>محكمة بني سويف الابتدائية</v>
      </c>
      <c r="O138" s="18" t="s">
        <v>207</v>
      </c>
      <c r="P138" s="17" t="s">
        <v>208</v>
      </c>
      <c r="AJ138" s="17" t="s">
        <v>254</v>
      </c>
    </row>
    <row r="139" spans="6:36" x14ac:dyDescent="0.3">
      <c r="F139" s="18" t="str">
        <f t="shared" si="8"/>
        <v>الدائرة السادسة جنائي</v>
      </c>
      <c r="G139" s="17">
        <v>54</v>
      </c>
      <c r="H139" s="17" t="s">
        <v>62</v>
      </c>
      <c r="I139" s="17">
        <v>200281</v>
      </c>
      <c r="J139" s="18" t="s">
        <v>316</v>
      </c>
      <c r="K139" s="18" t="s">
        <v>86</v>
      </c>
      <c r="L139" s="17" t="s">
        <v>131</v>
      </c>
      <c r="M139" s="17">
        <v>77</v>
      </c>
      <c r="N139" s="18" t="str">
        <f t="shared" si="9"/>
        <v>محكمة بني سويف الابتدائية</v>
      </c>
      <c r="O139" s="18" t="s">
        <v>204</v>
      </c>
      <c r="P139" s="17" t="s">
        <v>205</v>
      </c>
      <c r="AJ139" s="17" t="s">
        <v>174</v>
      </c>
    </row>
    <row r="140" spans="6:36" x14ac:dyDescent="0.3">
      <c r="F140" s="18" t="str">
        <f t="shared" si="8"/>
        <v>الدائرة السادسة جنائي</v>
      </c>
      <c r="G140" s="17">
        <v>54</v>
      </c>
      <c r="H140" s="17" t="s">
        <v>62</v>
      </c>
      <c r="I140" s="17">
        <v>200282</v>
      </c>
      <c r="J140" s="18" t="s">
        <v>317</v>
      </c>
      <c r="K140" s="18" t="s">
        <v>81</v>
      </c>
      <c r="L140" s="17" t="s">
        <v>132</v>
      </c>
      <c r="M140" s="17">
        <v>78</v>
      </c>
      <c r="N140" s="18" t="str">
        <f t="shared" si="9"/>
        <v>محكمة بني سويف الابتدائية</v>
      </c>
      <c r="O140" s="18" t="s">
        <v>207</v>
      </c>
      <c r="P140" s="17" t="s">
        <v>208</v>
      </c>
      <c r="AJ140" s="17" t="s">
        <v>174</v>
      </c>
    </row>
    <row r="141" spans="6:36" x14ac:dyDescent="0.3">
      <c r="F141" s="18" t="str">
        <f t="shared" si="8"/>
        <v>الدائرة السادسة جنائي</v>
      </c>
      <c r="G141" s="17">
        <v>54</v>
      </c>
      <c r="H141" s="17" t="s">
        <v>62</v>
      </c>
      <c r="I141" s="17">
        <v>200283</v>
      </c>
      <c r="J141" s="18" t="s">
        <v>318</v>
      </c>
      <c r="K141" s="18" t="s">
        <v>71</v>
      </c>
      <c r="L141" s="17" t="s">
        <v>132</v>
      </c>
      <c r="M141" s="17">
        <v>79</v>
      </c>
      <c r="N141" s="18" t="str">
        <f t="shared" si="9"/>
        <v>محكمة بني سويف الابتدائية</v>
      </c>
      <c r="O141" s="18" t="s">
        <v>204</v>
      </c>
      <c r="P141" s="17" t="s">
        <v>205</v>
      </c>
      <c r="AJ141" s="17" t="s">
        <v>254</v>
      </c>
    </row>
    <row r="142" spans="6:36" x14ac:dyDescent="0.3">
      <c r="F142" s="18" t="str">
        <f t="shared" si="8"/>
        <v>الدائرة السادسة جنائي</v>
      </c>
      <c r="G142" s="17">
        <v>54</v>
      </c>
      <c r="H142" s="17" t="s">
        <v>62</v>
      </c>
      <c r="I142" s="17">
        <v>200284</v>
      </c>
      <c r="J142" s="18" t="s">
        <v>319</v>
      </c>
      <c r="K142" s="18" t="s">
        <v>78</v>
      </c>
      <c r="L142" s="17" t="s">
        <v>132</v>
      </c>
      <c r="M142" s="17">
        <v>80</v>
      </c>
      <c r="N142" s="18" t="str">
        <f t="shared" si="9"/>
        <v>محكمة بني سويف الابتدائية</v>
      </c>
      <c r="O142" s="18" t="s">
        <v>207</v>
      </c>
      <c r="P142" s="17" t="s">
        <v>208</v>
      </c>
      <c r="AJ142" s="17" t="s">
        <v>254</v>
      </c>
    </row>
    <row r="143" spans="6:36" x14ac:dyDescent="0.3">
      <c r="F143" s="18" t="str">
        <f t="shared" si="8"/>
        <v>الدائرة السادسة جنائي</v>
      </c>
      <c r="G143" s="17">
        <v>54</v>
      </c>
      <c r="H143" s="17" t="s">
        <v>62</v>
      </c>
      <c r="I143" s="17">
        <v>200285</v>
      </c>
      <c r="J143" s="18" t="s">
        <v>320</v>
      </c>
      <c r="K143" s="18" t="s">
        <v>75</v>
      </c>
      <c r="L143" s="17" t="s">
        <v>132</v>
      </c>
      <c r="M143" s="17">
        <v>81</v>
      </c>
      <c r="N143" s="18" t="str">
        <f t="shared" si="9"/>
        <v>محكمة بني سويف الابتدائية</v>
      </c>
      <c r="O143" s="18" t="s">
        <v>204</v>
      </c>
      <c r="P143" s="17" t="s">
        <v>205</v>
      </c>
      <c r="AJ143" s="17" t="s">
        <v>254</v>
      </c>
    </row>
    <row r="144" spans="6:36" x14ac:dyDescent="0.3">
      <c r="F144" s="18" t="str">
        <f t="shared" si="8"/>
        <v>الدائرة السادسة جنائي</v>
      </c>
      <c r="G144" s="17">
        <v>54</v>
      </c>
      <c r="H144" s="17" t="s">
        <v>62</v>
      </c>
      <c r="I144" s="17">
        <v>200286</v>
      </c>
      <c r="J144" s="18" t="s">
        <v>321</v>
      </c>
      <c r="K144" s="18" t="s">
        <v>77</v>
      </c>
      <c r="L144" s="17" t="s">
        <v>132</v>
      </c>
      <c r="M144" s="17">
        <v>82</v>
      </c>
      <c r="N144" s="18" t="str">
        <f t="shared" si="9"/>
        <v>محكمة بني سويف الابتدائية</v>
      </c>
      <c r="O144" s="18" t="s">
        <v>207</v>
      </c>
      <c r="P144" s="17" t="s">
        <v>208</v>
      </c>
      <c r="AJ144" s="17" t="s">
        <v>254</v>
      </c>
    </row>
    <row r="145" spans="6:36" x14ac:dyDescent="0.3">
      <c r="F145" s="18" t="str">
        <f t="shared" si="8"/>
        <v>الدائرة السادسة جنائي</v>
      </c>
      <c r="G145" s="17">
        <v>54</v>
      </c>
      <c r="H145" s="17" t="s">
        <v>62</v>
      </c>
      <c r="I145" s="17">
        <v>200287</v>
      </c>
      <c r="J145" s="18" t="s">
        <v>322</v>
      </c>
      <c r="K145" s="18" t="s">
        <v>76</v>
      </c>
      <c r="L145" s="17" t="s">
        <v>132</v>
      </c>
      <c r="M145" s="17">
        <v>83</v>
      </c>
      <c r="N145" s="18" t="str">
        <f t="shared" si="9"/>
        <v>محكمة بني سويف الابتدائية</v>
      </c>
      <c r="O145" s="18" t="s">
        <v>204</v>
      </c>
      <c r="P145" s="17" t="s">
        <v>205</v>
      </c>
      <c r="AJ145" s="17" t="s">
        <v>254</v>
      </c>
    </row>
    <row r="146" spans="6:36" x14ac:dyDescent="0.3">
      <c r="F146" s="18" t="str">
        <f t="shared" si="8"/>
        <v>الدائرة السادسة جنائي</v>
      </c>
      <c r="G146" s="17">
        <v>54</v>
      </c>
      <c r="H146" s="17" t="s">
        <v>62</v>
      </c>
      <c r="I146" s="17">
        <v>200288</v>
      </c>
      <c r="J146" s="18" t="s">
        <v>323</v>
      </c>
      <c r="K146" s="18" t="s">
        <v>79</v>
      </c>
      <c r="L146" s="17" t="s">
        <v>132</v>
      </c>
      <c r="M146" s="17">
        <v>84</v>
      </c>
      <c r="N146" s="18" t="str">
        <f t="shared" si="9"/>
        <v>محكمة بني سويف الابتدائية</v>
      </c>
      <c r="O146" s="18" t="s">
        <v>207</v>
      </c>
      <c r="P146" s="17" t="s">
        <v>208</v>
      </c>
      <c r="AJ146" s="17" t="s">
        <v>254</v>
      </c>
    </row>
    <row r="147" spans="6:36" x14ac:dyDescent="0.3">
      <c r="F147" s="18" t="str">
        <f t="shared" si="8"/>
        <v>الدائرة السادسة جنائي</v>
      </c>
      <c r="G147" s="17">
        <v>54</v>
      </c>
      <c r="H147" s="17" t="s">
        <v>62</v>
      </c>
      <c r="I147" s="17">
        <v>200289</v>
      </c>
      <c r="J147" s="18" t="s">
        <v>324</v>
      </c>
      <c r="K147" s="18" t="s">
        <v>81</v>
      </c>
      <c r="L147" s="17" t="s">
        <v>133</v>
      </c>
      <c r="M147" s="17">
        <v>85</v>
      </c>
      <c r="N147" s="18" t="str">
        <f t="shared" si="9"/>
        <v>محكمة بني سويف الابتدائية</v>
      </c>
      <c r="O147" s="18" t="s">
        <v>204</v>
      </c>
      <c r="P147" s="17" t="s">
        <v>205</v>
      </c>
      <c r="AJ147" s="17" t="s">
        <v>174</v>
      </c>
    </row>
    <row r="148" spans="6:36" x14ac:dyDescent="0.3">
      <c r="F148" s="18" t="str">
        <f t="shared" si="8"/>
        <v>الدائرة السابعة جنائي</v>
      </c>
      <c r="G148" s="17">
        <v>55</v>
      </c>
      <c r="H148" s="17" t="s">
        <v>62</v>
      </c>
      <c r="I148" s="17">
        <v>200290</v>
      </c>
      <c r="J148" s="18" t="s">
        <v>325</v>
      </c>
      <c r="K148" s="18" t="s">
        <v>81</v>
      </c>
      <c r="L148" s="17" t="s">
        <v>131</v>
      </c>
      <c r="M148" s="17">
        <v>86</v>
      </c>
      <c r="N148" s="18" t="str">
        <f t="shared" si="9"/>
        <v>محكمة بني سويف الابتدائية</v>
      </c>
      <c r="O148" s="18" t="s">
        <v>207</v>
      </c>
      <c r="P148" s="17" t="s">
        <v>208</v>
      </c>
      <c r="AJ148" s="17" t="s">
        <v>174</v>
      </c>
    </row>
    <row r="149" spans="6:36" x14ac:dyDescent="0.3">
      <c r="F149" s="18" t="str">
        <f t="shared" si="8"/>
        <v>الدائرة السابعة جنائي</v>
      </c>
      <c r="G149" s="17">
        <v>55</v>
      </c>
      <c r="H149" s="17" t="s">
        <v>62</v>
      </c>
      <c r="I149" s="17">
        <v>200291</v>
      </c>
      <c r="J149" s="18" t="s">
        <v>326</v>
      </c>
      <c r="K149" s="18" t="s">
        <v>86</v>
      </c>
      <c r="L149" s="17" t="s">
        <v>131</v>
      </c>
      <c r="M149" s="17">
        <v>87</v>
      </c>
      <c r="N149" s="18" t="str">
        <f t="shared" si="9"/>
        <v>محكمة بني سويف الابتدائية</v>
      </c>
      <c r="O149" s="18" t="s">
        <v>204</v>
      </c>
      <c r="P149" s="17" t="s">
        <v>205</v>
      </c>
      <c r="AJ149" s="17" t="s">
        <v>174</v>
      </c>
    </row>
    <row r="150" spans="6:36" x14ac:dyDescent="0.3">
      <c r="F150" s="18" t="str">
        <f t="shared" si="8"/>
        <v>الدائرة السابعة جنائي</v>
      </c>
      <c r="G150" s="17">
        <v>55</v>
      </c>
      <c r="H150" s="17" t="s">
        <v>62</v>
      </c>
      <c r="I150" s="17">
        <v>200292</v>
      </c>
      <c r="J150" s="18" t="s">
        <v>327</v>
      </c>
      <c r="K150" s="18" t="s">
        <v>81</v>
      </c>
      <c r="L150" s="17" t="s">
        <v>132</v>
      </c>
      <c r="M150" s="17">
        <v>88</v>
      </c>
      <c r="N150" s="18" t="str">
        <f t="shared" si="9"/>
        <v>محكمة بني سويف الابتدائية</v>
      </c>
      <c r="O150" s="18" t="s">
        <v>207</v>
      </c>
      <c r="P150" s="17" t="s">
        <v>208</v>
      </c>
      <c r="AJ150" s="17" t="s">
        <v>174</v>
      </c>
    </row>
    <row r="151" spans="6:36" x14ac:dyDescent="0.3">
      <c r="F151" s="18" t="str">
        <f t="shared" si="8"/>
        <v>الدائرة السابعة جنائي</v>
      </c>
      <c r="G151" s="17">
        <v>55</v>
      </c>
      <c r="H151" s="17" t="s">
        <v>62</v>
      </c>
      <c r="I151" s="17">
        <v>200293</v>
      </c>
      <c r="J151" s="18" t="s">
        <v>328</v>
      </c>
      <c r="K151" s="18" t="s">
        <v>83</v>
      </c>
      <c r="L151" s="17" t="s">
        <v>132</v>
      </c>
      <c r="M151" s="17">
        <v>89</v>
      </c>
      <c r="N151" s="18" t="str">
        <f t="shared" si="9"/>
        <v>محكمة بني سويف الابتدائية</v>
      </c>
      <c r="O151" s="18" t="s">
        <v>204</v>
      </c>
      <c r="P151" s="17" t="s">
        <v>205</v>
      </c>
      <c r="AJ151" s="17" t="s">
        <v>254</v>
      </c>
    </row>
    <row r="152" spans="6:36" x14ac:dyDescent="0.3">
      <c r="F152" s="18" t="str">
        <f t="shared" si="8"/>
        <v>الدائرة السابعة جنائي</v>
      </c>
      <c r="G152" s="17">
        <v>55</v>
      </c>
      <c r="H152" s="17" t="s">
        <v>62</v>
      </c>
      <c r="I152" s="17">
        <v>200294</v>
      </c>
      <c r="J152" s="18" t="s">
        <v>329</v>
      </c>
      <c r="K152" s="18" t="s">
        <v>81</v>
      </c>
      <c r="L152" s="17" t="s">
        <v>133</v>
      </c>
      <c r="M152" s="17">
        <v>90</v>
      </c>
      <c r="N152" s="18" t="str">
        <f t="shared" si="9"/>
        <v>محكمة بني سويف الابتدائية</v>
      </c>
      <c r="O152" s="18" t="s">
        <v>207</v>
      </c>
      <c r="P152" s="17" t="s">
        <v>208</v>
      </c>
      <c r="AJ152" s="17" t="s">
        <v>174</v>
      </c>
    </row>
    <row r="153" spans="6:36" x14ac:dyDescent="0.3">
      <c r="F153" s="18" t="str">
        <f t="shared" si="8"/>
        <v>الدائرة السابعة جنائي</v>
      </c>
      <c r="G153" s="17">
        <v>55</v>
      </c>
      <c r="H153" s="17" t="s">
        <v>62</v>
      </c>
      <c r="I153" s="17">
        <v>200295</v>
      </c>
      <c r="J153" s="18" t="s">
        <v>330</v>
      </c>
      <c r="K153" s="18" t="s">
        <v>71</v>
      </c>
      <c r="L153" s="17" t="s">
        <v>133</v>
      </c>
      <c r="M153" s="17">
        <v>91</v>
      </c>
      <c r="N153" s="18" t="str">
        <f t="shared" si="9"/>
        <v>محكمة بني سويف الابتدائية</v>
      </c>
      <c r="O153" s="18" t="s">
        <v>204</v>
      </c>
      <c r="P153" s="17" t="s">
        <v>205</v>
      </c>
      <c r="AJ153" s="17" t="s">
        <v>254</v>
      </c>
    </row>
    <row r="154" spans="6:36" x14ac:dyDescent="0.3">
      <c r="F154" s="18" t="str">
        <f t="shared" si="8"/>
        <v>الدائرة السابعة جنائي</v>
      </c>
      <c r="G154" s="17">
        <v>55</v>
      </c>
      <c r="H154" s="17" t="s">
        <v>62</v>
      </c>
      <c r="I154" s="17">
        <v>200296</v>
      </c>
      <c r="J154" s="18" t="s">
        <v>331</v>
      </c>
      <c r="K154" s="18" t="s">
        <v>78</v>
      </c>
      <c r="L154" s="17" t="s">
        <v>133</v>
      </c>
      <c r="M154" s="17">
        <v>92</v>
      </c>
      <c r="N154" s="18" t="str">
        <f t="shared" si="9"/>
        <v>محكمة بني سويف الابتدائية</v>
      </c>
      <c r="O154" s="18" t="s">
        <v>207</v>
      </c>
      <c r="P154" s="17" t="s">
        <v>208</v>
      </c>
      <c r="AJ154" s="17" t="s">
        <v>254</v>
      </c>
    </row>
    <row r="155" spans="6:36" x14ac:dyDescent="0.3">
      <c r="F155" s="18" t="str">
        <f t="shared" si="8"/>
        <v>الدائرة السابعة جنائي</v>
      </c>
      <c r="G155" s="17">
        <v>55</v>
      </c>
      <c r="H155" s="17" t="s">
        <v>62</v>
      </c>
      <c r="I155" s="17">
        <v>200297</v>
      </c>
      <c r="J155" s="18" t="s">
        <v>332</v>
      </c>
      <c r="K155" s="18" t="s">
        <v>75</v>
      </c>
      <c r="L155" s="17" t="s">
        <v>133</v>
      </c>
      <c r="M155" s="17">
        <v>93</v>
      </c>
      <c r="N155" s="18" t="str">
        <f t="shared" si="9"/>
        <v>محكمة بني سويف الابتدائية</v>
      </c>
      <c r="O155" s="18" t="s">
        <v>204</v>
      </c>
      <c r="P155" s="17" t="s">
        <v>205</v>
      </c>
      <c r="AJ155" s="17" t="s">
        <v>254</v>
      </c>
    </row>
    <row r="156" spans="6:36" x14ac:dyDescent="0.3">
      <c r="F156" s="18" t="str">
        <f t="shared" si="8"/>
        <v>الدائرة السابعة جنائي</v>
      </c>
      <c r="G156" s="17">
        <v>55</v>
      </c>
      <c r="H156" s="17" t="s">
        <v>62</v>
      </c>
      <c r="I156" s="17">
        <v>200298</v>
      </c>
      <c r="J156" s="18" t="s">
        <v>333</v>
      </c>
      <c r="K156" s="18" t="s">
        <v>77</v>
      </c>
      <c r="L156" s="17" t="s">
        <v>133</v>
      </c>
      <c r="M156" s="17">
        <v>94</v>
      </c>
      <c r="N156" s="18" t="str">
        <f t="shared" si="9"/>
        <v>محكمة بني سويف الابتدائية</v>
      </c>
      <c r="O156" s="18" t="s">
        <v>207</v>
      </c>
      <c r="P156" s="17" t="s">
        <v>208</v>
      </c>
      <c r="AJ156" s="17" t="s">
        <v>254</v>
      </c>
    </row>
    <row r="157" spans="6:36" x14ac:dyDescent="0.3">
      <c r="F157" s="18" t="str">
        <f t="shared" si="8"/>
        <v>الدائرة السابعة جنائي</v>
      </c>
      <c r="G157" s="17">
        <v>55</v>
      </c>
      <c r="H157" s="17" t="s">
        <v>62</v>
      </c>
      <c r="I157" s="17">
        <v>200299</v>
      </c>
      <c r="J157" s="18" t="s">
        <v>334</v>
      </c>
      <c r="K157" s="18" t="s">
        <v>76</v>
      </c>
      <c r="L157" s="17" t="s">
        <v>133</v>
      </c>
      <c r="M157" s="17">
        <v>95</v>
      </c>
      <c r="N157" s="18" t="str">
        <f t="shared" si="9"/>
        <v>محكمة بني سويف الابتدائية</v>
      </c>
      <c r="O157" s="18" t="s">
        <v>204</v>
      </c>
      <c r="P157" s="17" t="s">
        <v>205</v>
      </c>
      <c r="AJ157" s="17" t="s">
        <v>254</v>
      </c>
    </row>
    <row r="158" spans="6:36" x14ac:dyDescent="0.3">
      <c r="F158" s="18" t="str">
        <f t="shared" si="8"/>
        <v>الدائرة السابعة جنائي</v>
      </c>
      <c r="G158" s="17">
        <v>55</v>
      </c>
      <c r="H158" s="17" t="s">
        <v>62</v>
      </c>
      <c r="I158" s="17">
        <v>200300</v>
      </c>
      <c r="J158" s="18" t="s">
        <v>335</v>
      </c>
      <c r="K158" s="18" t="s">
        <v>79</v>
      </c>
      <c r="L158" s="17" t="s">
        <v>133</v>
      </c>
      <c r="M158" s="17">
        <v>96</v>
      </c>
      <c r="N158" s="18" t="str">
        <f t="shared" si="9"/>
        <v>محكمة بني سويف الابتدائية</v>
      </c>
      <c r="O158" s="18" t="s">
        <v>207</v>
      </c>
      <c r="P158" s="17" t="s">
        <v>208</v>
      </c>
      <c r="AJ158" s="17" t="s">
        <v>254</v>
      </c>
    </row>
    <row r="159" spans="6:36" x14ac:dyDescent="0.3">
      <c r="F159" s="18" t="str">
        <f t="shared" si="8"/>
        <v>الدائرة الثامنة جنائي</v>
      </c>
      <c r="G159" s="17">
        <v>56</v>
      </c>
      <c r="H159" s="17" t="s">
        <v>62</v>
      </c>
      <c r="I159" s="17">
        <v>200301</v>
      </c>
      <c r="J159" s="18" t="s">
        <v>336</v>
      </c>
      <c r="K159" s="18" t="s">
        <v>81</v>
      </c>
      <c r="L159" s="17" t="s">
        <v>134</v>
      </c>
      <c r="M159" s="17">
        <v>97</v>
      </c>
      <c r="N159" s="18" t="str">
        <f t="shared" si="9"/>
        <v>محكمة بني سويف الابتدائية</v>
      </c>
      <c r="O159" s="18" t="s">
        <v>204</v>
      </c>
      <c r="P159" s="17" t="s">
        <v>205</v>
      </c>
      <c r="AJ159" s="17" t="s">
        <v>174</v>
      </c>
    </row>
    <row r="160" spans="6:36" x14ac:dyDescent="0.3">
      <c r="F160" s="18" t="str">
        <f t="shared" si="8"/>
        <v>الدائرة الثامنة جنائي</v>
      </c>
      <c r="G160" s="17">
        <v>56</v>
      </c>
      <c r="H160" s="17" t="s">
        <v>62</v>
      </c>
      <c r="I160" s="17">
        <v>200302</v>
      </c>
      <c r="J160" s="18" t="s">
        <v>337</v>
      </c>
      <c r="K160" s="18" t="s">
        <v>86</v>
      </c>
      <c r="L160" s="17" t="s">
        <v>134</v>
      </c>
      <c r="M160" s="17">
        <v>98</v>
      </c>
      <c r="N160" s="18" t="str">
        <f t="shared" si="9"/>
        <v>محكمة بني سويف الابتدائية</v>
      </c>
      <c r="O160" s="18" t="s">
        <v>207</v>
      </c>
      <c r="P160" s="17" t="s">
        <v>208</v>
      </c>
      <c r="AJ160" s="17" t="s">
        <v>174</v>
      </c>
    </row>
    <row r="161" spans="6:36" x14ac:dyDescent="0.3">
      <c r="F161" s="18" t="str">
        <f t="shared" si="8"/>
        <v>الدائرة الثامنة جنائي</v>
      </c>
      <c r="G161" s="17">
        <v>56</v>
      </c>
      <c r="H161" s="17" t="s">
        <v>62</v>
      </c>
      <c r="I161" s="17">
        <v>200303</v>
      </c>
      <c r="J161" s="18" t="s">
        <v>338</v>
      </c>
      <c r="K161" s="18" t="s">
        <v>81</v>
      </c>
      <c r="L161" s="17" t="s">
        <v>135</v>
      </c>
      <c r="M161" s="17">
        <v>99</v>
      </c>
      <c r="N161" s="18" t="str">
        <f t="shared" si="9"/>
        <v>محكمة بني سويف الابتدائية</v>
      </c>
      <c r="O161" s="18" t="s">
        <v>204</v>
      </c>
      <c r="P161" s="17" t="s">
        <v>205</v>
      </c>
      <c r="AJ161" s="17" t="s">
        <v>174</v>
      </c>
    </row>
    <row r="162" spans="6:36" x14ac:dyDescent="0.3">
      <c r="F162" s="18" t="str">
        <f t="shared" si="8"/>
        <v>الدائرة الثامنة جنائي</v>
      </c>
      <c r="G162" s="17">
        <v>56</v>
      </c>
      <c r="H162" s="17" t="s">
        <v>62</v>
      </c>
      <c r="I162" s="17">
        <v>200304</v>
      </c>
      <c r="J162" s="18" t="s">
        <v>339</v>
      </c>
      <c r="K162" s="18" t="s">
        <v>71</v>
      </c>
      <c r="L162" s="17" t="s">
        <v>135</v>
      </c>
      <c r="M162" s="17">
        <v>100</v>
      </c>
      <c r="N162" s="18" t="str">
        <f t="shared" si="9"/>
        <v>محكمة بني سويف الابتدائية</v>
      </c>
      <c r="O162" s="18" t="s">
        <v>207</v>
      </c>
      <c r="P162" s="17" t="s">
        <v>208</v>
      </c>
      <c r="AJ162" s="17" t="s">
        <v>254</v>
      </c>
    </row>
    <row r="163" spans="6:36" x14ac:dyDescent="0.3">
      <c r="F163" s="18" t="str">
        <f t="shared" si="8"/>
        <v>الدائرة الثامنة جنائي</v>
      </c>
      <c r="G163" s="17">
        <v>56</v>
      </c>
      <c r="H163" s="17" t="s">
        <v>62</v>
      </c>
      <c r="I163" s="17">
        <v>200305</v>
      </c>
      <c r="J163" s="18" t="s">
        <v>340</v>
      </c>
      <c r="K163" s="18" t="s">
        <v>83</v>
      </c>
      <c r="L163" s="17" t="s">
        <v>135</v>
      </c>
      <c r="M163" s="17">
        <v>101</v>
      </c>
      <c r="N163" s="18" t="str">
        <f t="shared" si="9"/>
        <v>محكمة بني سويف الابتدائية</v>
      </c>
      <c r="O163" s="18" t="s">
        <v>204</v>
      </c>
      <c r="P163" s="17" t="s">
        <v>205</v>
      </c>
      <c r="AJ163" s="17" t="s">
        <v>254</v>
      </c>
    </row>
    <row r="164" spans="6:36" x14ac:dyDescent="0.3">
      <c r="F164" s="18" t="str">
        <f t="shared" si="8"/>
        <v>الدائرة الثامنة جنائي</v>
      </c>
      <c r="G164" s="17">
        <v>56</v>
      </c>
      <c r="H164" s="17" t="s">
        <v>62</v>
      </c>
      <c r="I164" s="17">
        <v>200306</v>
      </c>
      <c r="J164" s="18" t="s">
        <v>341</v>
      </c>
      <c r="K164" s="18" t="s">
        <v>78</v>
      </c>
      <c r="L164" s="17" t="s">
        <v>135</v>
      </c>
      <c r="M164" s="17">
        <v>102</v>
      </c>
      <c r="N164" s="18" t="str">
        <f t="shared" si="9"/>
        <v>محكمة بني سويف الابتدائية</v>
      </c>
      <c r="O164" s="18" t="s">
        <v>207</v>
      </c>
      <c r="P164" s="17" t="s">
        <v>208</v>
      </c>
      <c r="AJ164" s="17" t="s">
        <v>254</v>
      </c>
    </row>
    <row r="165" spans="6:36" x14ac:dyDescent="0.3">
      <c r="F165" s="18" t="str">
        <f t="shared" si="8"/>
        <v>الدائرة الثامنة جنائي</v>
      </c>
      <c r="G165" s="17">
        <v>56</v>
      </c>
      <c r="H165" s="17" t="s">
        <v>62</v>
      </c>
      <c r="I165" s="17">
        <v>200307</v>
      </c>
      <c r="J165" s="18" t="s">
        <v>342</v>
      </c>
      <c r="K165" s="18" t="s">
        <v>75</v>
      </c>
      <c r="L165" s="17" t="s">
        <v>135</v>
      </c>
      <c r="M165" s="17">
        <v>103</v>
      </c>
      <c r="N165" s="18" t="str">
        <f t="shared" si="9"/>
        <v>محكمة بني سويف الابتدائية</v>
      </c>
      <c r="O165" s="18" t="s">
        <v>204</v>
      </c>
      <c r="P165" s="17" t="s">
        <v>205</v>
      </c>
      <c r="AJ165" s="17" t="s">
        <v>254</v>
      </c>
    </row>
    <row r="166" spans="6:36" x14ac:dyDescent="0.3">
      <c r="F166" s="18" t="str">
        <f t="shared" si="8"/>
        <v>الدائرة الثامنة جنائي</v>
      </c>
      <c r="G166" s="17">
        <v>56</v>
      </c>
      <c r="H166" s="17" t="s">
        <v>62</v>
      </c>
      <c r="I166" s="17">
        <v>200308</v>
      </c>
      <c r="J166" s="18" t="s">
        <v>343</v>
      </c>
      <c r="K166" s="18" t="s">
        <v>77</v>
      </c>
      <c r="L166" s="17" t="s">
        <v>135</v>
      </c>
      <c r="M166" s="17">
        <v>104</v>
      </c>
      <c r="N166" s="18" t="str">
        <f t="shared" si="9"/>
        <v>محكمة بني سويف الابتدائية</v>
      </c>
      <c r="O166" s="18" t="s">
        <v>207</v>
      </c>
      <c r="P166" s="17" t="s">
        <v>208</v>
      </c>
      <c r="AJ166" s="17" t="s">
        <v>254</v>
      </c>
    </row>
    <row r="167" spans="6:36" x14ac:dyDescent="0.3">
      <c r="F167" s="18" t="str">
        <f t="shared" si="8"/>
        <v>الدائرة الثامنة جنائي</v>
      </c>
      <c r="G167" s="17">
        <v>56</v>
      </c>
      <c r="H167" s="17" t="s">
        <v>62</v>
      </c>
      <c r="I167" s="17">
        <v>200309</v>
      </c>
      <c r="J167" s="18" t="s">
        <v>344</v>
      </c>
      <c r="K167" s="18" t="s">
        <v>76</v>
      </c>
      <c r="L167" s="17" t="s">
        <v>135</v>
      </c>
      <c r="M167" s="17">
        <v>105</v>
      </c>
      <c r="N167" s="18" t="str">
        <f t="shared" si="9"/>
        <v>محكمة بني سويف الابتدائية</v>
      </c>
      <c r="O167" s="18" t="s">
        <v>204</v>
      </c>
      <c r="P167" s="17" t="s">
        <v>205</v>
      </c>
      <c r="AJ167" s="17" t="s">
        <v>254</v>
      </c>
    </row>
    <row r="168" spans="6:36" x14ac:dyDescent="0.3">
      <c r="F168" s="18" t="str">
        <f t="shared" si="8"/>
        <v>الدائرة الثامنة جنائي</v>
      </c>
      <c r="G168" s="17">
        <v>56</v>
      </c>
      <c r="H168" s="17" t="s">
        <v>62</v>
      </c>
      <c r="I168" s="17">
        <v>200310</v>
      </c>
      <c r="J168" s="18" t="s">
        <v>345</v>
      </c>
      <c r="K168" s="18" t="s">
        <v>79</v>
      </c>
      <c r="L168" s="17" t="s">
        <v>135</v>
      </c>
      <c r="M168" s="17">
        <v>106</v>
      </c>
      <c r="N168" s="18" t="str">
        <f t="shared" si="9"/>
        <v>محكمة بني سويف الابتدائية</v>
      </c>
      <c r="O168" s="18" t="s">
        <v>207</v>
      </c>
      <c r="P168" s="17" t="s">
        <v>208</v>
      </c>
      <c r="AJ168" s="17" t="s">
        <v>254</v>
      </c>
    </row>
    <row r="169" spans="6:36" x14ac:dyDescent="0.3">
      <c r="F169" s="18" t="str">
        <f t="shared" si="8"/>
        <v>الدائرة الثامنة جنائي</v>
      </c>
      <c r="G169" s="17">
        <v>56</v>
      </c>
      <c r="H169" s="17" t="s">
        <v>62</v>
      </c>
      <c r="I169" s="17">
        <v>200311</v>
      </c>
      <c r="J169" s="18" t="s">
        <v>346</v>
      </c>
      <c r="K169" s="18" t="s">
        <v>81</v>
      </c>
      <c r="L169" s="17" t="s">
        <v>136</v>
      </c>
      <c r="M169" s="17">
        <v>107</v>
      </c>
      <c r="N169" s="18" t="str">
        <f t="shared" si="9"/>
        <v>محكمة بني سويف الابتدائية</v>
      </c>
      <c r="O169" s="18" t="s">
        <v>204</v>
      </c>
      <c r="P169" s="17" t="s">
        <v>205</v>
      </c>
      <c r="AJ169" s="17" t="s">
        <v>174</v>
      </c>
    </row>
    <row r="170" spans="6:36" x14ac:dyDescent="0.3">
      <c r="F170" s="18" t="str">
        <f t="shared" si="8"/>
        <v>الدائرة الثامنة جنائي</v>
      </c>
      <c r="G170" s="17">
        <v>56</v>
      </c>
      <c r="H170" s="17" t="s">
        <v>62</v>
      </c>
      <c r="I170" s="17">
        <v>200312</v>
      </c>
      <c r="J170" s="18" t="s">
        <v>347</v>
      </c>
      <c r="K170" s="18" t="s">
        <v>80</v>
      </c>
      <c r="L170" s="17" t="s">
        <v>136</v>
      </c>
      <c r="M170" s="17">
        <v>108</v>
      </c>
      <c r="N170" s="18" t="str">
        <f t="shared" si="9"/>
        <v>محكمة بني سويف الابتدائية</v>
      </c>
      <c r="O170" s="18" t="s">
        <v>207</v>
      </c>
      <c r="P170" s="17" t="s">
        <v>208</v>
      </c>
      <c r="AJ170" s="17" t="s">
        <v>254</v>
      </c>
    </row>
    <row r="171" spans="6:36" x14ac:dyDescent="0.3">
      <c r="F171" s="18" t="str">
        <f t="shared" si="8"/>
        <v>الدائرة الثانية عمالية</v>
      </c>
      <c r="G171" s="17">
        <v>95</v>
      </c>
      <c r="H171" s="17" t="s">
        <v>63</v>
      </c>
      <c r="I171" s="17">
        <v>200552</v>
      </c>
      <c r="J171" s="18" t="s">
        <v>348</v>
      </c>
      <c r="K171" s="18" t="s">
        <v>100</v>
      </c>
      <c r="L171" s="17" t="s">
        <v>134</v>
      </c>
      <c r="M171" s="17">
        <v>10</v>
      </c>
      <c r="N171" s="18" t="str">
        <f t="shared" si="9"/>
        <v>محكمة بني سويف الابتدائية</v>
      </c>
      <c r="O171" s="18" t="s">
        <v>349</v>
      </c>
      <c r="P171" s="17" t="s">
        <v>350</v>
      </c>
      <c r="AJ171" s="17" t="s">
        <v>174</v>
      </c>
    </row>
    <row r="172" spans="6:36" x14ac:dyDescent="0.3">
      <c r="F172" s="18" t="str">
        <f t="shared" si="8"/>
        <v>الدائرة الثانية عمالية</v>
      </c>
      <c r="G172" s="17">
        <v>95</v>
      </c>
      <c r="H172" s="17" t="s">
        <v>63</v>
      </c>
      <c r="I172" s="17">
        <v>200553</v>
      </c>
      <c r="J172" s="18" t="s">
        <v>351</v>
      </c>
      <c r="K172" s="18" t="s">
        <v>90</v>
      </c>
      <c r="L172" s="17" t="s">
        <v>134</v>
      </c>
      <c r="M172" s="17">
        <v>37</v>
      </c>
      <c r="N172" s="18" t="str">
        <f t="shared" si="9"/>
        <v>محكمة بني سويف الابتدائية</v>
      </c>
      <c r="O172" s="18" t="s">
        <v>352</v>
      </c>
      <c r="P172" s="17" t="s">
        <v>353</v>
      </c>
      <c r="AJ172" s="17" t="s">
        <v>174</v>
      </c>
    </row>
    <row r="173" spans="6:36" x14ac:dyDescent="0.3">
      <c r="F173" s="18" t="str">
        <f t="shared" si="8"/>
        <v>الدائرة الثانية عمالية</v>
      </c>
      <c r="G173" s="17">
        <v>95</v>
      </c>
      <c r="H173" s="17" t="s">
        <v>63</v>
      </c>
      <c r="I173" s="17">
        <v>200554</v>
      </c>
      <c r="J173" s="18" t="s">
        <v>354</v>
      </c>
      <c r="K173" s="18" t="s">
        <v>100</v>
      </c>
      <c r="L173" s="17" t="s">
        <v>135</v>
      </c>
      <c r="M173" s="17">
        <v>64</v>
      </c>
      <c r="N173" s="18" t="str">
        <f t="shared" si="9"/>
        <v>محكمة بني سويف الابتدائية</v>
      </c>
      <c r="O173" s="18" t="s">
        <v>349</v>
      </c>
      <c r="P173" s="17" t="s">
        <v>350</v>
      </c>
      <c r="AJ173" s="17" t="s">
        <v>174</v>
      </c>
    </row>
    <row r="174" spans="6:36" x14ac:dyDescent="0.3">
      <c r="F174" s="18" t="str">
        <f t="shared" si="8"/>
        <v>الدائرة الثانية عمالية</v>
      </c>
      <c r="G174" s="17">
        <v>95</v>
      </c>
      <c r="H174" s="17" t="s">
        <v>63</v>
      </c>
      <c r="I174" s="17">
        <v>200555</v>
      </c>
      <c r="J174" s="18" t="s">
        <v>355</v>
      </c>
      <c r="K174" s="18" t="s">
        <v>90</v>
      </c>
      <c r="L174" s="17" t="s">
        <v>135</v>
      </c>
      <c r="M174" s="17">
        <v>91</v>
      </c>
      <c r="N174" s="18" t="str">
        <f t="shared" si="9"/>
        <v>محكمة بني سويف الابتدائية</v>
      </c>
      <c r="O174" s="18" t="s">
        <v>352</v>
      </c>
      <c r="P174" s="17" t="s">
        <v>353</v>
      </c>
      <c r="AJ174" s="17" t="s">
        <v>174</v>
      </c>
    </row>
    <row r="175" spans="6:36" x14ac:dyDescent="0.3">
      <c r="F175" s="18" t="str">
        <f t="shared" si="8"/>
        <v>الدائرة الثانية عمالية</v>
      </c>
      <c r="G175" s="17">
        <v>95</v>
      </c>
      <c r="H175" s="17" t="s">
        <v>63</v>
      </c>
      <c r="I175" s="17">
        <v>200556</v>
      </c>
      <c r="J175" s="18" t="s">
        <v>356</v>
      </c>
      <c r="K175" s="18" t="s">
        <v>100</v>
      </c>
      <c r="L175" s="17" t="s">
        <v>135</v>
      </c>
      <c r="M175" s="17">
        <v>118</v>
      </c>
      <c r="N175" s="18" t="str">
        <f t="shared" si="9"/>
        <v>محكمة بني سويف الابتدائية</v>
      </c>
      <c r="O175" s="18" t="s">
        <v>349</v>
      </c>
      <c r="P175" s="17" t="s">
        <v>350</v>
      </c>
      <c r="AJ175" s="17" t="s">
        <v>174</v>
      </c>
    </row>
    <row r="176" spans="6:36" x14ac:dyDescent="0.3">
      <c r="F176" s="18" t="str">
        <f t="shared" si="8"/>
        <v>الدائرة الثانية عمالية</v>
      </c>
      <c r="G176" s="17">
        <v>95</v>
      </c>
      <c r="H176" s="17" t="s">
        <v>63</v>
      </c>
      <c r="I176" s="17">
        <v>200557</v>
      </c>
      <c r="J176" s="18" t="s">
        <v>357</v>
      </c>
      <c r="K176" s="18" t="s">
        <v>115</v>
      </c>
      <c r="L176" s="17" t="s">
        <v>136</v>
      </c>
      <c r="M176" s="17">
        <v>145</v>
      </c>
      <c r="N176" s="18" t="str">
        <f t="shared" si="9"/>
        <v>محكمة بني سويف الابتدائية</v>
      </c>
      <c r="O176" s="18" t="s">
        <v>352</v>
      </c>
      <c r="P176" s="17" t="s">
        <v>353</v>
      </c>
      <c r="AJ176" s="17" t="s">
        <v>174</v>
      </c>
    </row>
    <row r="177" spans="6:36" x14ac:dyDescent="0.3">
      <c r="F177" s="18" t="str">
        <f t="shared" si="8"/>
        <v>الدائرة الثالثة عمالية</v>
      </c>
      <c r="G177" s="17">
        <v>96</v>
      </c>
      <c r="H177" s="17" t="s">
        <v>63</v>
      </c>
      <c r="I177" s="17">
        <v>200558</v>
      </c>
      <c r="J177" s="18" t="s">
        <v>358</v>
      </c>
      <c r="K177" s="18" t="s">
        <v>100</v>
      </c>
      <c r="L177" s="17" t="s">
        <v>134</v>
      </c>
      <c r="M177" s="17">
        <v>172</v>
      </c>
      <c r="N177" s="18" t="str">
        <f t="shared" si="9"/>
        <v>محكمة بني سويف الابتدائية</v>
      </c>
      <c r="O177" s="18" t="s">
        <v>349</v>
      </c>
      <c r="P177" s="17" t="s">
        <v>350</v>
      </c>
      <c r="AJ177" s="17" t="s">
        <v>174</v>
      </c>
    </row>
    <row r="178" spans="6:36" x14ac:dyDescent="0.3">
      <c r="F178" s="18" t="str">
        <f t="shared" si="8"/>
        <v>الدائرة الثالثة عمالية</v>
      </c>
      <c r="G178" s="17">
        <v>96</v>
      </c>
      <c r="H178" s="17" t="s">
        <v>63</v>
      </c>
      <c r="I178" s="17">
        <v>200559</v>
      </c>
      <c r="J178" s="18" t="s">
        <v>359</v>
      </c>
      <c r="K178" s="18" t="s">
        <v>90</v>
      </c>
      <c r="L178" s="17" t="s">
        <v>134</v>
      </c>
      <c r="M178" s="17">
        <v>199</v>
      </c>
      <c r="N178" s="18" t="str">
        <f t="shared" si="9"/>
        <v>محكمة بني سويف الابتدائية</v>
      </c>
      <c r="O178" s="18" t="s">
        <v>352</v>
      </c>
      <c r="P178" s="17" t="s">
        <v>353</v>
      </c>
      <c r="AJ178" s="17" t="s">
        <v>174</v>
      </c>
    </row>
    <row r="179" spans="6:36" x14ac:dyDescent="0.3">
      <c r="F179" s="18" t="str">
        <f t="shared" si="8"/>
        <v>الدائرة الثالثة عمالية</v>
      </c>
      <c r="G179" s="17">
        <v>96</v>
      </c>
      <c r="H179" s="17" t="s">
        <v>63</v>
      </c>
      <c r="I179" s="17">
        <v>200560</v>
      </c>
      <c r="J179" s="18" t="s">
        <v>360</v>
      </c>
      <c r="K179" s="18" t="s">
        <v>100</v>
      </c>
      <c r="L179" s="17" t="s">
        <v>135</v>
      </c>
      <c r="M179" s="17">
        <v>226</v>
      </c>
      <c r="N179" s="18" t="str">
        <f t="shared" si="9"/>
        <v>محكمة بني سويف الابتدائية</v>
      </c>
      <c r="O179" s="18" t="s">
        <v>349</v>
      </c>
      <c r="P179" s="17" t="s">
        <v>350</v>
      </c>
      <c r="AJ179" s="17" t="s">
        <v>174</v>
      </c>
    </row>
    <row r="180" spans="6:36" x14ac:dyDescent="0.3">
      <c r="F180" s="18" t="str">
        <f t="shared" si="8"/>
        <v>الدائرة الثالثة عمالية</v>
      </c>
      <c r="G180" s="17">
        <v>96</v>
      </c>
      <c r="H180" s="17" t="s">
        <v>63</v>
      </c>
      <c r="I180" s="17">
        <v>200561</v>
      </c>
      <c r="J180" s="18" t="s">
        <v>361</v>
      </c>
      <c r="K180" s="18" t="s">
        <v>90</v>
      </c>
      <c r="L180" s="17" t="s">
        <v>135</v>
      </c>
      <c r="M180" s="17">
        <v>253</v>
      </c>
      <c r="N180" s="18" t="str">
        <f t="shared" si="9"/>
        <v>محكمة بني سويف الابتدائية</v>
      </c>
      <c r="O180" s="18" t="s">
        <v>352</v>
      </c>
      <c r="P180" s="17" t="s">
        <v>353</v>
      </c>
      <c r="AJ180" s="17" t="s">
        <v>174</v>
      </c>
    </row>
    <row r="181" spans="6:36" x14ac:dyDescent="0.3">
      <c r="F181" s="18" t="str">
        <f t="shared" si="8"/>
        <v>الدائرة الثالثة عمالية</v>
      </c>
      <c r="G181" s="17">
        <v>96</v>
      </c>
      <c r="H181" s="17" t="s">
        <v>63</v>
      </c>
      <c r="I181" s="17">
        <v>200562</v>
      </c>
      <c r="J181" s="18" t="s">
        <v>362</v>
      </c>
      <c r="K181" s="18" t="s">
        <v>115</v>
      </c>
      <c r="L181" s="17" t="s">
        <v>136</v>
      </c>
      <c r="M181" s="17">
        <v>280</v>
      </c>
      <c r="N181" s="18" t="str">
        <f t="shared" si="9"/>
        <v>محكمة بني سويف الابتدائية</v>
      </c>
      <c r="O181" s="18" t="s">
        <v>349</v>
      </c>
      <c r="P181" s="17" t="s">
        <v>350</v>
      </c>
      <c r="AJ181" s="17" t="s">
        <v>174</v>
      </c>
    </row>
    <row r="182" spans="6:36" x14ac:dyDescent="0.3">
      <c r="F182" s="18" t="str">
        <f t="shared" si="8"/>
        <v>الدائرة الأولى عمالية</v>
      </c>
      <c r="G182" s="17">
        <v>97</v>
      </c>
      <c r="H182" s="17" t="s">
        <v>63</v>
      </c>
      <c r="I182" s="17">
        <v>200563</v>
      </c>
      <c r="J182" s="18" t="s">
        <v>363</v>
      </c>
      <c r="K182" s="18" t="s">
        <v>100</v>
      </c>
      <c r="L182" s="17" t="s">
        <v>131</v>
      </c>
      <c r="M182" s="17">
        <v>307</v>
      </c>
      <c r="N182" s="18" t="str">
        <f t="shared" si="9"/>
        <v>محكمة بني سويف الابتدائية</v>
      </c>
      <c r="O182" s="18" t="s">
        <v>352</v>
      </c>
      <c r="P182" s="17" t="s">
        <v>353</v>
      </c>
      <c r="AJ182" s="17" t="s">
        <v>174</v>
      </c>
    </row>
    <row r="183" spans="6:36" x14ac:dyDescent="0.3">
      <c r="F183" s="18" t="str">
        <f t="shared" si="8"/>
        <v>الدائرة الأولى عمالية</v>
      </c>
      <c r="G183" s="17">
        <v>97</v>
      </c>
      <c r="H183" s="17" t="s">
        <v>63</v>
      </c>
      <c r="I183" s="17">
        <v>200564</v>
      </c>
      <c r="J183" s="18" t="s">
        <v>364</v>
      </c>
      <c r="K183" s="18" t="s">
        <v>90</v>
      </c>
      <c r="L183" s="17" t="s">
        <v>131</v>
      </c>
      <c r="M183" s="17">
        <v>334</v>
      </c>
      <c r="N183" s="18" t="str">
        <f t="shared" si="9"/>
        <v>محكمة بني سويف الابتدائية</v>
      </c>
      <c r="O183" s="18" t="s">
        <v>349</v>
      </c>
      <c r="P183" s="17" t="s">
        <v>350</v>
      </c>
      <c r="AJ183" s="17" t="s">
        <v>174</v>
      </c>
    </row>
    <row r="184" spans="6:36" x14ac:dyDescent="0.3">
      <c r="F184" s="18" t="str">
        <f t="shared" si="8"/>
        <v>الدائرة الأولى عمالية</v>
      </c>
      <c r="G184" s="17">
        <v>97</v>
      </c>
      <c r="H184" s="17" t="s">
        <v>63</v>
      </c>
      <c r="I184" s="17">
        <v>200565</v>
      </c>
      <c r="J184" s="18" t="s">
        <v>365</v>
      </c>
      <c r="K184" s="18" t="s">
        <v>100</v>
      </c>
      <c r="L184" s="17" t="s">
        <v>132</v>
      </c>
      <c r="M184" s="17">
        <v>361</v>
      </c>
      <c r="N184" s="18" t="str">
        <f t="shared" si="9"/>
        <v>محكمة بني سويف الابتدائية</v>
      </c>
      <c r="O184" s="18" t="s">
        <v>352</v>
      </c>
      <c r="P184" s="17" t="s">
        <v>353</v>
      </c>
      <c r="AJ184" s="17" t="s">
        <v>174</v>
      </c>
    </row>
    <row r="185" spans="6:36" x14ac:dyDescent="0.3">
      <c r="F185" s="18" t="str">
        <f t="shared" si="8"/>
        <v>الدائرة الأولى عمالية</v>
      </c>
      <c r="G185" s="17">
        <v>97</v>
      </c>
      <c r="H185" s="17" t="s">
        <v>63</v>
      </c>
      <c r="I185" s="17">
        <v>200566</v>
      </c>
      <c r="J185" s="18" t="s">
        <v>366</v>
      </c>
      <c r="K185" s="18" t="s">
        <v>90</v>
      </c>
      <c r="L185" s="17" t="s">
        <v>132</v>
      </c>
      <c r="M185" s="17">
        <v>388</v>
      </c>
      <c r="N185" s="18" t="str">
        <f t="shared" si="9"/>
        <v>محكمة بني سويف الابتدائية</v>
      </c>
      <c r="O185" s="18" t="s">
        <v>349</v>
      </c>
      <c r="P185" s="17" t="s">
        <v>350</v>
      </c>
      <c r="AJ185" s="17" t="s">
        <v>174</v>
      </c>
    </row>
    <row r="186" spans="6:36" x14ac:dyDescent="0.3">
      <c r="F186" s="18" t="str">
        <f t="shared" si="8"/>
        <v>الدائرة الأولى عمالية</v>
      </c>
      <c r="G186" s="17">
        <v>97</v>
      </c>
      <c r="H186" s="17" t="s">
        <v>63</v>
      </c>
      <c r="I186" s="17">
        <v>200567</v>
      </c>
      <c r="J186" s="18" t="s">
        <v>367</v>
      </c>
      <c r="K186" s="18" t="s">
        <v>100</v>
      </c>
      <c r="L186" s="17" t="s">
        <v>132</v>
      </c>
      <c r="M186" s="17">
        <v>415</v>
      </c>
      <c r="N186" s="18" t="str">
        <f t="shared" si="9"/>
        <v>محكمة بني سويف الابتدائية</v>
      </c>
      <c r="O186" s="18" t="s">
        <v>352</v>
      </c>
      <c r="P186" s="17" t="s">
        <v>353</v>
      </c>
      <c r="AJ186" s="17" t="s">
        <v>174</v>
      </c>
    </row>
    <row r="187" spans="6:36" x14ac:dyDescent="0.3">
      <c r="F187" s="18" t="str">
        <f t="shared" si="8"/>
        <v>الدائرة الأولى عمالية</v>
      </c>
      <c r="G187" s="17">
        <v>97</v>
      </c>
      <c r="H187" s="17" t="s">
        <v>63</v>
      </c>
      <c r="I187" s="17">
        <v>200568</v>
      </c>
      <c r="J187" s="18" t="s">
        <v>368</v>
      </c>
      <c r="K187" s="18" t="s">
        <v>115</v>
      </c>
      <c r="L187" s="17" t="s">
        <v>133</v>
      </c>
      <c r="M187" s="17">
        <v>442</v>
      </c>
      <c r="N187" s="18" t="str">
        <f t="shared" si="9"/>
        <v>محكمة بني سويف الابتدائية</v>
      </c>
      <c r="O187" s="18" t="s">
        <v>349</v>
      </c>
      <c r="P187" s="17" t="s">
        <v>350</v>
      </c>
      <c r="AJ187" s="17" t="s">
        <v>174</v>
      </c>
    </row>
    <row r="188" spans="6:36" x14ac:dyDescent="0.3">
      <c r="F188" s="18" t="str">
        <f t="shared" si="8"/>
        <v>الدائرة الأولى جزئي</v>
      </c>
      <c r="G188" s="17">
        <v>73</v>
      </c>
      <c r="H188" s="17" t="s">
        <v>65</v>
      </c>
      <c r="I188" s="17">
        <v>200382</v>
      </c>
      <c r="J188" s="18" t="s">
        <v>369</v>
      </c>
      <c r="K188" s="18" t="s">
        <v>98</v>
      </c>
      <c r="L188" s="17" t="s">
        <v>131</v>
      </c>
      <c r="M188" s="17">
        <v>12</v>
      </c>
      <c r="N188" s="18" t="str">
        <f t="shared" si="9"/>
        <v>محكمة بني سويف الابتدائية</v>
      </c>
      <c r="O188" s="18" t="s">
        <v>370</v>
      </c>
      <c r="P188" s="17" t="s">
        <v>371</v>
      </c>
      <c r="AJ188" s="17" t="s">
        <v>174</v>
      </c>
    </row>
    <row r="189" spans="6:36" x14ac:dyDescent="0.3">
      <c r="F189" s="18" t="str">
        <f t="shared" si="8"/>
        <v>الدائرة الأولى جزئي</v>
      </c>
      <c r="G189" s="17">
        <v>73</v>
      </c>
      <c r="H189" s="17" t="s">
        <v>65</v>
      </c>
      <c r="I189" s="17">
        <v>200383</v>
      </c>
      <c r="J189" s="18" t="s">
        <v>372</v>
      </c>
      <c r="K189" s="18" t="s">
        <v>101</v>
      </c>
      <c r="L189" s="17" t="s">
        <v>131</v>
      </c>
      <c r="M189" s="17">
        <v>13</v>
      </c>
      <c r="N189" s="18" t="str">
        <f t="shared" si="9"/>
        <v>محكمة بني سويف الابتدائية</v>
      </c>
      <c r="O189" s="18" t="s">
        <v>373</v>
      </c>
      <c r="P189" s="17" t="s">
        <v>374</v>
      </c>
      <c r="AJ189" s="17" t="s">
        <v>174</v>
      </c>
    </row>
    <row r="190" spans="6:36" x14ac:dyDescent="0.3">
      <c r="F190" s="18" t="str">
        <f t="shared" si="8"/>
        <v>الدائرة الأولى جزئي</v>
      </c>
      <c r="G190" s="17">
        <v>73</v>
      </c>
      <c r="H190" s="17" t="s">
        <v>65</v>
      </c>
      <c r="I190" s="17">
        <v>200384</v>
      </c>
      <c r="J190" s="18" t="s">
        <v>375</v>
      </c>
      <c r="K190" s="18" t="s">
        <v>83</v>
      </c>
      <c r="L190" s="17" t="s">
        <v>131</v>
      </c>
      <c r="M190" s="17">
        <v>14</v>
      </c>
      <c r="N190" s="18" t="str">
        <f t="shared" si="9"/>
        <v>محكمة بني سويف الابتدائية</v>
      </c>
      <c r="O190" s="18" t="s">
        <v>370</v>
      </c>
      <c r="P190" s="17" t="s">
        <v>371</v>
      </c>
      <c r="AJ190" s="17" t="s">
        <v>254</v>
      </c>
    </row>
    <row r="191" spans="6:36" x14ac:dyDescent="0.3">
      <c r="F191" s="18" t="str">
        <f t="shared" si="8"/>
        <v>الدائرة الأولى جزئي</v>
      </c>
      <c r="G191" s="17">
        <v>73</v>
      </c>
      <c r="H191" s="17" t="s">
        <v>65</v>
      </c>
      <c r="I191" s="17">
        <v>200386</v>
      </c>
      <c r="J191" s="18" t="s">
        <v>376</v>
      </c>
      <c r="K191" s="18" t="s">
        <v>98</v>
      </c>
      <c r="L191" s="17" t="s">
        <v>132</v>
      </c>
      <c r="M191" s="17">
        <v>15</v>
      </c>
      <c r="N191" s="18" t="str">
        <f t="shared" si="9"/>
        <v>محكمة بني سويف الابتدائية</v>
      </c>
      <c r="O191" s="18" t="s">
        <v>370</v>
      </c>
      <c r="P191" s="17" t="s">
        <v>371</v>
      </c>
      <c r="AJ191" s="17" t="s">
        <v>174</v>
      </c>
    </row>
    <row r="192" spans="6:36" x14ac:dyDescent="0.3">
      <c r="F192" s="18" t="str">
        <f t="shared" si="8"/>
        <v>الدائرة الأولى جزئي</v>
      </c>
      <c r="G192" s="17">
        <v>73</v>
      </c>
      <c r="H192" s="17" t="s">
        <v>65</v>
      </c>
      <c r="I192" s="17">
        <v>200388</v>
      </c>
      <c r="J192" s="18" t="s">
        <v>377</v>
      </c>
      <c r="K192" s="18" t="s">
        <v>98</v>
      </c>
      <c r="L192" s="17" t="s">
        <v>133</v>
      </c>
      <c r="M192" s="17">
        <v>16</v>
      </c>
      <c r="N192" s="18" t="str">
        <f t="shared" si="9"/>
        <v>محكمة بني سويف الابتدائية</v>
      </c>
      <c r="O192" s="18" t="s">
        <v>370</v>
      </c>
      <c r="P192" s="17" t="s">
        <v>371</v>
      </c>
      <c r="AJ192" s="17" t="s">
        <v>174</v>
      </c>
    </row>
    <row r="193" spans="6:36" x14ac:dyDescent="0.3">
      <c r="F193" s="18" t="str">
        <f t="shared" si="8"/>
        <v>الدائرة الثانية جزئي</v>
      </c>
      <c r="G193" s="17">
        <v>74</v>
      </c>
      <c r="H193" s="17" t="s">
        <v>65</v>
      </c>
      <c r="I193" s="17">
        <v>200389</v>
      </c>
      <c r="J193" s="18" t="s">
        <v>378</v>
      </c>
      <c r="K193" s="18" t="s">
        <v>98</v>
      </c>
      <c r="L193" s="17" t="s">
        <v>131</v>
      </c>
      <c r="M193" s="17">
        <v>17</v>
      </c>
      <c r="N193" s="18" t="str">
        <f t="shared" si="9"/>
        <v>محكمة بني سويف الابتدائية</v>
      </c>
      <c r="O193" s="18" t="s">
        <v>373</v>
      </c>
      <c r="P193" s="17" t="s">
        <v>374</v>
      </c>
      <c r="AJ193" s="17" t="s">
        <v>174</v>
      </c>
    </row>
    <row r="194" spans="6:36" x14ac:dyDescent="0.3">
      <c r="F194" s="18" t="str">
        <f t="shared" si="8"/>
        <v>الدائرة الثانية جزئي</v>
      </c>
      <c r="G194" s="17">
        <v>74</v>
      </c>
      <c r="H194" s="17" t="s">
        <v>65</v>
      </c>
      <c r="I194" s="17">
        <v>200390</v>
      </c>
      <c r="J194" s="18" t="s">
        <v>379</v>
      </c>
      <c r="K194" s="18" t="s">
        <v>70</v>
      </c>
      <c r="L194" s="17" t="s">
        <v>131</v>
      </c>
      <c r="M194" s="17">
        <v>18</v>
      </c>
      <c r="N194" s="18" t="str">
        <f t="shared" si="9"/>
        <v>محكمة بني سويف الابتدائية</v>
      </c>
      <c r="O194" s="18" t="s">
        <v>370</v>
      </c>
      <c r="P194" s="17" t="s">
        <v>371</v>
      </c>
      <c r="AJ194" s="17" t="s">
        <v>254</v>
      </c>
    </row>
    <row r="195" spans="6:36" x14ac:dyDescent="0.3">
      <c r="F195" s="18" t="str">
        <f t="shared" si="8"/>
        <v>الدائرة الثانية جزئي</v>
      </c>
      <c r="G195" s="17">
        <v>74</v>
      </c>
      <c r="H195" s="17" t="s">
        <v>65</v>
      </c>
      <c r="I195" s="17">
        <v>200392</v>
      </c>
      <c r="J195" s="18" t="s">
        <v>376</v>
      </c>
      <c r="K195" s="18" t="s">
        <v>98</v>
      </c>
      <c r="L195" s="17" t="s">
        <v>132</v>
      </c>
      <c r="M195" s="17">
        <v>19</v>
      </c>
      <c r="N195" s="18" t="str">
        <f t="shared" si="9"/>
        <v>محكمة بني سويف الابتدائية</v>
      </c>
      <c r="O195" s="18" t="s">
        <v>370</v>
      </c>
      <c r="P195" s="17" t="s">
        <v>371</v>
      </c>
      <c r="AJ195" s="17" t="s">
        <v>174</v>
      </c>
    </row>
    <row r="196" spans="6:36" x14ac:dyDescent="0.3">
      <c r="F196" s="18" t="str">
        <f t="shared" si="8"/>
        <v>الدائرة الثانية جزئي</v>
      </c>
      <c r="G196" s="17">
        <v>74</v>
      </c>
      <c r="H196" s="17" t="s">
        <v>65</v>
      </c>
      <c r="I196" s="17">
        <v>200393</v>
      </c>
      <c r="J196" s="18" t="s">
        <v>380</v>
      </c>
      <c r="K196" s="18" t="s">
        <v>98</v>
      </c>
      <c r="L196" s="17" t="s">
        <v>133</v>
      </c>
      <c r="M196" s="17">
        <v>20</v>
      </c>
      <c r="N196" s="18" t="str">
        <f t="shared" si="9"/>
        <v>محكمة بني سويف الابتدائية</v>
      </c>
      <c r="O196" s="18" t="s">
        <v>373</v>
      </c>
      <c r="P196" s="17" t="s">
        <v>374</v>
      </c>
      <c r="AJ196" s="17" t="s">
        <v>174</v>
      </c>
    </row>
    <row r="197" spans="6:36" x14ac:dyDescent="0.3">
      <c r="F197" s="18" t="str">
        <f t="shared" ref="F197:F260" si="10">IFERROR(VLOOKUP(G197, $A$5:$B$53, 2, FALSE), "")</f>
        <v>الدائرة الثالثة جزئي</v>
      </c>
      <c r="G197" s="17">
        <v>75</v>
      </c>
      <c r="H197" s="17" t="s">
        <v>65</v>
      </c>
      <c r="I197" s="17">
        <v>200394</v>
      </c>
      <c r="J197" s="18" t="s">
        <v>381</v>
      </c>
      <c r="K197" s="18" t="s">
        <v>98</v>
      </c>
      <c r="L197" s="17" t="s">
        <v>134</v>
      </c>
      <c r="M197" s="17">
        <v>21</v>
      </c>
      <c r="N197" s="18" t="str">
        <f t="shared" ref="N197:N260" si="11">IFERROR(VLOOKUP(G197, $A$5:$C$53, 3, FALSE), "")</f>
        <v>محكمة بني سويف الابتدائية</v>
      </c>
      <c r="O197" s="18" t="s">
        <v>370</v>
      </c>
      <c r="P197" s="17" t="s">
        <v>371</v>
      </c>
      <c r="AJ197" s="17" t="s">
        <v>174</v>
      </c>
    </row>
    <row r="198" spans="6:36" x14ac:dyDescent="0.3">
      <c r="F198" s="18" t="str">
        <f t="shared" si="10"/>
        <v>الدائرة الثالثة جزئي</v>
      </c>
      <c r="G198" s="17">
        <v>75</v>
      </c>
      <c r="H198" s="17" t="s">
        <v>65</v>
      </c>
      <c r="I198" s="17">
        <v>200395</v>
      </c>
      <c r="J198" s="18" t="s">
        <v>382</v>
      </c>
      <c r="K198" s="18" t="s">
        <v>117</v>
      </c>
      <c r="L198" s="17" t="s">
        <v>134</v>
      </c>
      <c r="M198" s="17">
        <v>22</v>
      </c>
      <c r="N198" s="18" t="str">
        <f t="shared" si="11"/>
        <v>محكمة بني سويف الابتدائية</v>
      </c>
      <c r="O198" s="18" t="s">
        <v>373</v>
      </c>
      <c r="P198" s="17" t="s">
        <v>374</v>
      </c>
      <c r="AJ198" s="17" t="s">
        <v>254</v>
      </c>
    </row>
    <row r="199" spans="6:36" x14ac:dyDescent="0.3">
      <c r="F199" s="18" t="str">
        <f t="shared" si="10"/>
        <v>الدائرة الثالثة جزئي</v>
      </c>
      <c r="G199" s="17">
        <v>75</v>
      </c>
      <c r="H199" s="17" t="s">
        <v>65</v>
      </c>
      <c r="I199" s="17">
        <v>200396</v>
      </c>
      <c r="J199" s="18" t="s">
        <v>383</v>
      </c>
      <c r="K199" s="18" t="s">
        <v>94</v>
      </c>
      <c r="L199" s="17" t="s">
        <v>134</v>
      </c>
      <c r="M199" s="17">
        <v>23</v>
      </c>
      <c r="N199" s="18" t="str">
        <f t="shared" si="11"/>
        <v>محكمة بني سويف الابتدائية</v>
      </c>
      <c r="O199" s="18" t="s">
        <v>370</v>
      </c>
      <c r="P199" s="17" t="s">
        <v>371</v>
      </c>
      <c r="AJ199" s="17" t="s">
        <v>254</v>
      </c>
    </row>
    <row r="200" spans="6:36" x14ac:dyDescent="0.3">
      <c r="F200" s="18" t="str">
        <f t="shared" si="10"/>
        <v>الدائرة الثالثة جزئي</v>
      </c>
      <c r="G200" s="17">
        <v>75</v>
      </c>
      <c r="H200" s="17" t="s">
        <v>65</v>
      </c>
      <c r="I200" s="17">
        <v>200397</v>
      </c>
      <c r="J200" s="18" t="s">
        <v>384</v>
      </c>
      <c r="K200" s="18" t="s">
        <v>96</v>
      </c>
      <c r="L200" s="17" t="s">
        <v>134</v>
      </c>
      <c r="M200" s="17">
        <v>24</v>
      </c>
      <c r="N200" s="18" t="str">
        <f t="shared" si="11"/>
        <v>محكمة بني سويف الابتدائية</v>
      </c>
      <c r="O200" s="18" t="s">
        <v>373</v>
      </c>
      <c r="P200" s="17" t="s">
        <v>374</v>
      </c>
      <c r="AJ200" s="17" t="s">
        <v>254</v>
      </c>
    </row>
    <row r="201" spans="6:36" x14ac:dyDescent="0.3">
      <c r="F201" s="18" t="str">
        <f t="shared" si="10"/>
        <v>الدائرة الثالثة جزئي</v>
      </c>
      <c r="G201" s="17">
        <v>75</v>
      </c>
      <c r="H201" s="17" t="s">
        <v>65</v>
      </c>
      <c r="I201" s="17">
        <v>200398</v>
      </c>
      <c r="J201" s="18" t="s">
        <v>385</v>
      </c>
      <c r="K201" s="18" t="s">
        <v>95</v>
      </c>
      <c r="L201" s="17" t="s">
        <v>134</v>
      </c>
      <c r="M201" s="17">
        <v>25</v>
      </c>
      <c r="N201" s="18" t="str">
        <f t="shared" si="11"/>
        <v>محكمة بني سويف الابتدائية</v>
      </c>
      <c r="O201" s="18" t="s">
        <v>370</v>
      </c>
      <c r="P201" s="17" t="s">
        <v>371</v>
      </c>
      <c r="AJ201" s="17" t="s">
        <v>254</v>
      </c>
    </row>
    <row r="202" spans="6:36" x14ac:dyDescent="0.3">
      <c r="F202" s="18" t="str">
        <f t="shared" si="10"/>
        <v>الدائرة الثالثة جزئي</v>
      </c>
      <c r="G202" s="17">
        <v>75</v>
      </c>
      <c r="H202" s="17" t="s">
        <v>65</v>
      </c>
      <c r="I202" s="17">
        <v>200399</v>
      </c>
      <c r="J202" s="18" t="s">
        <v>386</v>
      </c>
      <c r="K202" s="18" t="s">
        <v>97</v>
      </c>
      <c r="L202" s="17" t="s">
        <v>134</v>
      </c>
      <c r="M202" s="17">
        <v>26</v>
      </c>
      <c r="N202" s="18" t="str">
        <f t="shared" si="11"/>
        <v>محكمة بني سويف الابتدائية</v>
      </c>
      <c r="O202" s="18" t="s">
        <v>373</v>
      </c>
      <c r="P202" s="17" t="s">
        <v>374</v>
      </c>
      <c r="AJ202" s="17" t="s">
        <v>254</v>
      </c>
    </row>
    <row r="203" spans="6:36" x14ac:dyDescent="0.3">
      <c r="F203" s="18" t="str">
        <f t="shared" si="10"/>
        <v>الدائرة الثالثة جزئي</v>
      </c>
      <c r="G203" s="17">
        <v>75</v>
      </c>
      <c r="H203" s="17" t="s">
        <v>65</v>
      </c>
      <c r="I203" s="17">
        <v>200401</v>
      </c>
      <c r="J203" s="18" t="s">
        <v>387</v>
      </c>
      <c r="K203" s="18" t="s">
        <v>98</v>
      </c>
      <c r="L203" s="17" t="s">
        <v>135</v>
      </c>
      <c r="M203" s="17">
        <v>27</v>
      </c>
      <c r="N203" s="18" t="str">
        <f t="shared" si="11"/>
        <v>محكمة بني سويف الابتدائية</v>
      </c>
      <c r="O203" s="18" t="s">
        <v>373</v>
      </c>
      <c r="P203" s="17" t="s">
        <v>374</v>
      </c>
      <c r="AJ203" s="17" t="s">
        <v>174</v>
      </c>
    </row>
    <row r="204" spans="6:36" x14ac:dyDescent="0.3">
      <c r="F204" s="18" t="str">
        <f t="shared" si="10"/>
        <v>الدائرة الرابعة جزئي</v>
      </c>
      <c r="G204" s="17">
        <v>76</v>
      </c>
      <c r="H204" s="17" t="s">
        <v>65</v>
      </c>
      <c r="I204" s="17">
        <v>200404</v>
      </c>
      <c r="J204" s="18" t="s">
        <v>388</v>
      </c>
      <c r="K204" s="18" t="s">
        <v>98</v>
      </c>
      <c r="L204" s="17" t="s">
        <v>134</v>
      </c>
      <c r="M204" s="17">
        <v>28</v>
      </c>
      <c r="N204" s="18" t="str">
        <f t="shared" si="11"/>
        <v>محكمة بني سويف الابتدائية</v>
      </c>
      <c r="O204" s="18" t="s">
        <v>370</v>
      </c>
      <c r="P204" s="17" t="s">
        <v>371</v>
      </c>
      <c r="AJ204" s="17" t="s">
        <v>174</v>
      </c>
    </row>
    <row r="205" spans="6:36" x14ac:dyDescent="0.3">
      <c r="F205" s="18" t="str">
        <f t="shared" si="10"/>
        <v>الدائرة الرابعة جزئي</v>
      </c>
      <c r="G205" s="17">
        <v>76</v>
      </c>
      <c r="H205" s="17" t="s">
        <v>65</v>
      </c>
      <c r="I205" s="17">
        <v>200406</v>
      </c>
      <c r="J205" s="18" t="s">
        <v>389</v>
      </c>
      <c r="K205" s="18" t="s">
        <v>98</v>
      </c>
      <c r="L205" s="17" t="s">
        <v>135</v>
      </c>
      <c r="M205" s="17">
        <v>29</v>
      </c>
      <c r="N205" s="18" t="str">
        <f t="shared" si="11"/>
        <v>محكمة بني سويف الابتدائية</v>
      </c>
      <c r="O205" s="18" t="s">
        <v>370</v>
      </c>
      <c r="P205" s="17" t="s">
        <v>371</v>
      </c>
      <c r="AJ205" s="17" t="s">
        <v>174</v>
      </c>
    </row>
    <row r="206" spans="6:36" x14ac:dyDescent="0.3">
      <c r="F206" s="18" t="str">
        <f t="shared" si="10"/>
        <v>الدائرة الأولى جزئي</v>
      </c>
      <c r="G206" s="17">
        <v>77</v>
      </c>
      <c r="H206" s="17" t="s">
        <v>65</v>
      </c>
      <c r="I206" s="17">
        <v>200408</v>
      </c>
      <c r="J206" s="18" t="s">
        <v>390</v>
      </c>
      <c r="K206" s="18" t="s">
        <v>98</v>
      </c>
      <c r="L206" s="17" t="s">
        <v>131</v>
      </c>
      <c r="M206" s="17">
        <v>30</v>
      </c>
      <c r="N206" s="18" t="str">
        <f t="shared" si="11"/>
        <v>محكمة بني سويف الابتدائية</v>
      </c>
      <c r="O206" s="18" t="s">
        <v>373</v>
      </c>
      <c r="P206" s="17" t="s">
        <v>374</v>
      </c>
      <c r="AJ206" s="17" t="s">
        <v>174</v>
      </c>
    </row>
    <row r="207" spans="6:36" x14ac:dyDescent="0.3">
      <c r="F207" s="18" t="str">
        <f t="shared" si="10"/>
        <v>الدائرة الأولى جزئي</v>
      </c>
      <c r="G207" s="17">
        <v>77</v>
      </c>
      <c r="H207" s="17" t="s">
        <v>65</v>
      </c>
      <c r="I207" s="17">
        <v>200410</v>
      </c>
      <c r="J207" s="18" t="s">
        <v>391</v>
      </c>
      <c r="K207" s="18" t="s">
        <v>98</v>
      </c>
      <c r="L207" s="17" t="s">
        <v>132</v>
      </c>
      <c r="M207" s="17">
        <v>31</v>
      </c>
      <c r="N207" s="18" t="str">
        <f t="shared" si="11"/>
        <v>محكمة بني سويف الابتدائية</v>
      </c>
      <c r="O207" s="18" t="s">
        <v>392</v>
      </c>
      <c r="P207" s="17" t="s">
        <v>393</v>
      </c>
      <c r="AJ207" s="17" t="s">
        <v>174</v>
      </c>
    </row>
    <row r="208" spans="6:36" x14ac:dyDescent="0.3">
      <c r="F208" s="18" t="str">
        <f t="shared" si="10"/>
        <v>الدائرة الأولى جزئي</v>
      </c>
      <c r="G208" s="17">
        <v>77</v>
      </c>
      <c r="H208" s="17" t="s">
        <v>65</v>
      </c>
      <c r="I208" s="17">
        <v>200413</v>
      </c>
      <c r="J208" s="18" t="s">
        <v>394</v>
      </c>
      <c r="K208" s="18" t="s">
        <v>98</v>
      </c>
      <c r="L208" s="17" t="s">
        <v>133</v>
      </c>
      <c r="M208" s="17">
        <v>32</v>
      </c>
      <c r="N208" s="18" t="str">
        <f t="shared" si="11"/>
        <v>محكمة بني سويف الابتدائية</v>
      </c>
      <c r="O208" s="18" t="s">
        <v>176</v>
      </c>
      <c r="P208" s="17" t="s">
        <v>177</v>
      </c>
      <c r="AJ208" s="17" t="s">
        <v>174</v>
      </c>
    </row>
    <row r="209" spans="6:36" x14ac:dyDescent="0.3">
      <c r="F209" s="18" t="str">
        <f t="shared" si="10"/>
        <v>الدائرة الثانية جزئي</v>
      </c>
      <c r="G209" s="17">
        <v>78</v>
      </c>
      <c r="H209" s="17" t="s">
        <v>65</v>
      </c>
      <c r="I209" s="17">
        <v>200414</v>
      </c>
      <c r="J209" s="18" t="s">
        <v>395</v>
      </c>
      <c r="K209" s="18" t="s">
        <v>98</v>
      </c>
      <c r="L209" s="17" t="s">
        <v>134</v>
      </c>
      <c r="M209" s="17">
        <v>33</v>
      </c>
      <c r="N209" s="18" t="str">
        <f t="shared" si="11"/>
        <v>محكمة بني سويف الابتدائية</v>
      </c>
      <c r="O209" s="18" t="s">
        <v>195</v>
      </c>
      <c r="P209" s="17" t="s">
        <v>196</v>
      </c>
      <c r="AJ209" s="17" t="s">
        <v>174</v>
      </c>
    </row>
    <row r="210" spans="6:36" x14ac:dyDescent="0.3">
      <c r="F210" s="18" t="str">
        <f t="shared" si="10"/>
        <v>الدائرة الثانية جزئي</v>
      </c>
      <c r="G210" s="17">
        <v>78</v>
      </c>
      <c r="H210" s="17" t="s">
        <v>65</v>
      </c>
      <c r="I210" s="17">
        <v>200415</v>
      </c>
      <c r="J210" s="18" t="s">
        <v>396</v>
      </c>
      <c r="K210" s="18" t="s">
        <v>101</v>
      </c>
      <c r="L210" s="17" t="s">
        <v>134</v>
      </c>
      <c r="M210" s="17">
        <v>34</v>
      </c>
      <c r="N210" s="18" t="str">
        <f t="shared" si="11"/>
        <v>محكمة بني سويف الابتدائية</v>
      </c>
      <c r="O210" s="18" t="s">
        <v>193</v>
      </c>
      <c r="P210" s="17" t="s">
        <v>194</v>
      </c>
      <c r="AJ210" s="17" t="s">
        <v>174</v>
      </c>
    </row>
    <row r="211" spans="6:36" x14ac:dyDescent="0.3">
      <c r="F211" s="18" t="str">
        <f t="shared" si="10"/>
        <v>الدائرة الثانية جزئي</v>
      </c>
      <c r="G211" s="17">
        <v>78</v>
      </c>
      <c r="H211" s="17" t="s">
        <v>65</v>
      </c>
      <c r="I211" s="17">
        <v>200417</v>
      </c>
      <c r="J211" s="18" t="s">
        <v>397</v>
      </c>
      <c r="K211" s="18" t="s">
        <v>98</v>
      </c>
      <c r="L211" s="17" t="s">
        <v>135</v>
      </c>
      <c r="M211" s="17">
        <v>35</v>
      </c>
      <c r="N211" s="18" t="str">
        <f t="shared" si="11"/>
        <v>محكمة بني سويف الابتدائية</v>
      </c>
      <c r="O211" s="18" t="s">
        <v>204</v>
      </c>
      <c r="P211" s="17" t="s">
        <v>205</v>
      </c>
      <c r="AJ211" s="17" t="s">
        <v>174</v>
      </c>
    </row>
    <row r="212" spans="6:36" x14ac:dyDescent="0.3">
      <c r="F212" s="18" t="str">
        <f t="shared" si="10"/>
        <v>الدائرة الثانية جزئي</v>
      </c>
      <c r="G212" s="17">
        <v>78</v>
      </c>
      <c r="H212" s="17" t="s">
        <v>65</v>
      </c>
      <c r="I212" s="17">
        <v>200418</v>
      </c>
      <c r="J212" s="18" t="s">
        <v>398</v>
      </c>
      <c r="K212" s="18" t="s">
        <v>98</v>
      </c>
      <c r="L212" s="17" t="s">
        <v>136</v>
      </c>
      <c r="M212" s="17">
        <v>36</v>
      </c>
      <c r="N212" s="18" t="str">
        <f t="shared" si="11"/>
        <v>محكمة بني سويف الابتدائية</v>
      </c>
      <c r="O212" s="18" t="s">
        <v>224</v>
      </c>
      <c r="P212" s="17" t="s">
        <v>225</v>
      </c>
      <c r="AJ212" s="17" t="s">
        <v>174</v>
      </c>
    </row>
    <row r="213" spans="6:36" x14ac:dyDescent="0.3">
      <c r="F213" s="18" t="str">
        <f t="shared" si="10"/>
        <v>الدائرة الثالثة جزئي</v>
      </c>
      <c r="G213" s="17">
        <v>79</v>
      </c>
      <c r="H213" s="17" t="s">
        <v>65</v>
      </c>
      <c r="I213" s="17">
        <v>200419</v>
      </c>
      <c r="J213" s="18" t="s">
        <v>399</v>
      </c>
      <c r="K213" s="18" t="s">
        <v>98</v>
      </c>
      <c r="L213" s="17" t="s">
        <v>134</v>
      </c>
      <c r="M213" s="17">
        <v>37</v>
      </c>
      <c r="N213" s="18" t="str">
        <f t="shared" si="11"/>
        <v>محكمة بني سويف الابتدائية</v>
      </c>
      <c r="O213" s="18" t="s">
        <v>227</v>
      </c>
      <c r="P213" s="17" t="s">
        <v>228</v>
      </c>
      <c r="AJ213" s="17" t="s">
        <v>174</v>
      </c>
    </row>
    <row r="214" spans="6:36" x14ac:dyDescent="0.3">
      <c r="F214" s="18" t="str">
        <f t="shared" si="10"/>
        <v>الدائرة الثالثة جزئي</v>
      </c>
      <c r="G214" s="17">
        <v>79</v>
      </c>
      <c r="H214" s="17" t="s">
        <v>65</v>
      </c>
      <c r="I214" s="17">
        <v>200420</v>
      </c>
      <c r="J214" s="18" t="s">
        <v>400</v>
      </c>
      <c r="K214" s="18" t="s">
        <v>117</v>
      </c>
      <c r="L214" s="17" t="s">
        <v>134</v>
      </c>
      <c r="M214" s="17">
        <v>38</v>
      </c>
      <c r="N214" s="18" t="str">
        <f t="shared" si="11"/>
        <v>محكمة بني سويف الابتدائية</v>
      </c>
      <c r="O214" s="18" t="s">
        <v>349</v>
      </c>
      <c r="P214" s="17" t="s">
        <v>350</v>
      </c>
      <c r="AJ214" s="17" t="s">
        <v>254</v>
      </c>
    </row>
    <row r="215" spans="6:36" x14ac:dyDescent="0.3">
      <c r="F215" s="18" t="str">
        <f t="shared" si="10"/>
        <v>الدائرة الثالثة جزئي</v>
      </c>
      <c r="G215" s="17">
        <v>79</v>
      </c>
      <c r="H215" s="17" t="s">
        <v>65</v>
      </c>
      <c r="I215" s="17">
        <v>200421</v>
      </c>
      <c r="J215" s="18" t="s">
        <v>401</v>
      </c>
      <c r="K215" s="18" t="s">
        <v>83</v>
      </c>
      <c r="L215" s="17" t="s">
        <v>134</v>
      </c>
      <c r="M215" s="17">
        <v>39</v>
      </c>
      <c r="N215" s="18" t="str">
        <f t="shared" si="11"/>
        <v>محكمة بني سويف الابتدائية</v>
      </c>
      <c r="O215" s="18" t="s">
        <v>352</v>
      </c>
      <c r="P215" s="17" t="s">
        <v>353</v>
      </c>
      <c r="AJ215" s="17" t="s">
        <v>254</v>
      </c>
    </row>
    <row r="216" spans="6:36" x14ac:dyDescent="0.3">
      <c r="F216" s="18" t="str">
        <f t="shared" si="10"/>
        <v>الدائرة الثالثة جزئي</v>
      </c>
      <c r="G216" s="17">
        <v>79</v>
      </c>
      <c r="H216" s="17" t="s">
        <v>65</v>
      </c>
      <c r="I216" s="17">
        <v>200422</v>
      </c>
      <c r="J216" s="18" t="s">
        <v>402</v>
      </c>
      <c r="K216" s="18" t="s">
        <v>94</v>
      </c>
      <c r="L216" s="17" t="s">
        <v>134</v>
      </c>
      <c r="M216" s="17">
        <v>40</v>
      </c>
      <c r="N216" s="18" t="str">
        <f t="shared" si="11"/>
        <v>محكمة بني سويف الابتدائية</v>
      </c>
      <c r="O216" s="18" t="s">
        <v>370</v>
      </c>
      <c r="P216" s="17" t="s">
        <v>371</v>
      </c>
      <c r="AJ216" s="17" t="s">
        <v>254</v>
      </c>
    </row>
    <row r="217" spans="6:36" x14ac:dyDescent="0.3">
      <c r="F217" s="18" t="str">
        <f t="shared" si="10"/>
        <v>الدائرة الثالثة جزئي</v>
      </c>
      <c r="G217" s="17">
        <v>79</v>
      </c>
      <c r="H217" s="17" t="s">
        <v>65</v>
      </c>
      <c r="I217" s="17">
        <v>200423</v>
      </c>
      <c r="J217" s="18" t="s">
        <v>403</v>
      </c>
      <c r="K217" s="18" t="s">
        <v>96</v>
      </c>
      <c r="L217" s="17" t="s">
        <v>134</v>
      </c>
      <c r="M217" s="17">
        <v>41</v>
      </c>
      <c r="N217" s="18" t="str">
        <f t="shared" si="11"/>
        <v>محكمة بني سويف الابتدائية</v>
      </c>
      <c r="O217" s="18" t="s">
        <v>373</v>
      </c>
      <c r="P217" s="17" t="s">
        <v>374</v>
      </c>
      <c r="AJ217" s="17" t="s">
        <v>254</v>
      </c>
    </row>
    <row r="218" spans="6:36" x14ac:dyDescent="0.3">
      <c r="F218" s="18" t="str">
        <f t="shared" si="10"/>
        <v>الدائرة الثالثة جزئي</v>
      </c>
      <c r="G218" s="17">
        <v>79</v>
      </c>
      <c r="H218" s="17" t="s">
        <v>65</v>
      </c>
      <c r="I218" s="17">
        <v>200424</v>
      </c>
      <c r="J218" s="18" t="s">
        <v>404</v>
      </c>
      <c r="K218" s="18" t="s">
        <v>95</v>
      </c>
      <c r="L218" s="17" t="s">
        <v>134</v>
      </c>
      <c r="M218" s="17">
        <v>42</v>
      </c>
      <c r="N218" s="18" t="str">
        <f t="shared" si="11"/>
        <v>محكمة بني سويف الابتدائية</v>
      </c>
      <c r="O218" s="18" t="s">
        <v>405</v>
      </c>
      <c r="P218" s="17" t="s">
        <v>406</v>
      </c>
      <c r="AJ218" s="17" t="s">
        <v>254</v>
      </c>
    </row>
    <row r="219" spans="6:36" x14ac:dyDescent="0.3">
      <c r="F219" s="18" t="str">
        <f t="shared" si="10"/>
        <v>الدائرة الثالثة جزئي</v>
      </c>
      <c r="G219" s="17">
        <v>79</v>
      </c>
      <c r="H219" s="17" t="s">
        <v>65</v>
      </c>
      <c r="I219" s="17">
        <v>200425</v>
      </c>
      <c r="J219" s="18" t="s">
        <v>407</v>
      </c>
      <c r="K219" s="18" t="s">
        <v>97</v>
      </c>
      <c r="L219" s="17" t="s">
        <v>134</v>
      </c>
      <c r="M219" s="17">
        <v>43</v>
      </c>
      <c r="N219" s="18" t="str">
        <f t="shared" si="11"/>
        <v>محكمة بني سويف الابتدائية</v>
      </c>
      <c r="O219" s="18" t="s">
        <v>392</v>
      </c>
      <c r="P219" s="17" t="s">
        <v>393</v>
      </c>
      <c r="AJ219" s="17" t="s">
        <v>254</v>
      </c>
    </row>
    <row r="220" spans="6:36" x14ac:dyDescent="0.3">
      <c r="F220" s="18" t="str">
        <f t="shared" si="10"/>
        <v>الدائرة الثالثة جزئي</v>
      </c>
      <c r="G220" s="17">
        <v>79</v>
      </c>
      <c r="H220" s="17" t="s">
        <v>65</v>
      </c>
      <c r="I220" s="17">
        <v>200427</v>
      </c>
      <c r="J220" s="18" t="s">
        <v>397</v>
      </c>
      <c r="K220" s="18" t="s">
        <v>98</v>
      </c>
      <c r="L220" s="17" t="s">
        <v>135</v>
      </c>
      <c r="M220" s="17">
        <v>44</v>
      </c>
      <c r="N220" s="18" t="str">
        <f t="shared" si="11"/>
        <v>محكمة بني سويف الابتدائية</v>
      </c>
      <c r="O220" s="18" t="s">
        <v>172</v>
      </c>
      <c r="P220" s="17" t="s">
        <v>173</v>
      </c>
      <c r="AJ220" s="17" t="s">
        <v>174</v>
      </c>
    </row>
    <row r="221" spans="6:36" x14ac:dyDescent="0.3">
      <c r="F221" s="18" t="str">
        <f t="shared" si="10"/>
        <v>الدائرة الثالثة جزئي</v>
      </c>
      <c r="G221" s="17">
        <v>79</v>
      </c>
      <c r="H221" s="17" t="s">
        <v>65</v>
      </c>
      <c r="I221" s="17">
        <v>200428</v>
      </c>
      <c r="J221" s="18" t="s">
        <v>408</v>
      </c>
      <c r="K221" s="18" t="s">
        <v>98</v>
      </c>
      <c r="L221" s="17" t="s">
        <v>136</v>
      </c>
      <c r="M221" s="17">
        <v>45</v>
      </c>
      <c r="N221" s="18" t="str">
        <f t="shared" si="11"/>
        <v>محكمة بني سويف الابتدائية</v>
      </c>
      <c r="O221" s="18" t="s">
        <v>176</v>
      </c>
      <c r="P221" s="17" t="s">
        <v>177</v>
      </c>
      <c r="AJ221" s="17" t="s">
        <v>174</v>
      </c>
    </row>
    <row r="222" spans="6:36" x14ac:dyDescent="0.3">
      <c r="F222" s="18" t="str">
        <f t="shared" si="10"/>
        <v>الدائرة الثالثة جزئي</v>
      </c>
      <c r="G222" s="17">
        <v>79</v>
      </c>
      <c r="H222" s="17" t="s">
        <v>65</v>
      </c>
      <c r="I222" s="17">
        <v>200429</v>
      </c>
      <c r="J222" s="18" t="s">
        <v>409</v>
      </c>
      <c r="K222" s="18" t="s">
        <v>120</v>
      </c>
      <c r="L222" s="17" t="s">
        <v>136</v>
      </c>
      <c r="M222" s="17">
        <v>46</v>
      </c>
      <c r="N222" s="18" t="str">
        <f t="shared" si="11"/>
        <v>محكمة بني سويف الابتدائية</v>
      </c>
      <c r="O222" s="18" t="s">
        <v>195</v>
      </c>
      <c r="P222" s="17" t="s">
        <v>196</v>
      </c>
      <c r="AJ222" s="17" t="s">
        <v>254</v>
      </c>
    </row>
    <row r="223" spans="6:36" x14ac:dyDescent="0.3">
      <c r="F223" s="18" t="str">
        <f t="shared" si="10"/>
        <v>الدائرة الأولى جزئي</v>
      </c>
      <c r="G223" s="17">
        <v>80</v>
      </c>
      <c r="H223" s="17" t="s">
        <v>65</v>
      </c>
      <c r="I223" s="17">
        <v>200430</v>
      </c>
      <c r="J223" s="18" t="s">
        <v>410</v>
      </c>
      <c r="K223" s="18" t="s">
        <v>98</v>
      </c>
      <c r="L223" s="17" t="s">
        <v>131</v>
      </c>
      <c r="M223" s="17">
        <v>47</v>
      </c>
      <c r="N223" s="18" t="str">
        <f t="shared" si="11"/>
        <v>محكمة بني سويف الابتدائية</v>
      </c>
      <c r="O223" s="18" t="s">
        <v>193</v>
      </c>
      <c r="P223" s="17" t="s">
        <v>194</v>
      </c>
      <c r="AJ223" s="17" t="s">
        <v>174</v>
      </c>
    </row>
    <row r="224" spans="6:36" x14ac:dyDescent="0.3">
      <c r="F224" s="18" t="str">
        <f t="shared" si="10"/>
        <v>الدائرة الأولى جزئي</v>
      </c>
      <c r="G224" s="17">
        <v>80</v>
      </c>
      <c r="H224" s="17" t="s">
        <v>65</v>
      </c>
      <c r="I224" s="17">
        <v>200432</v>
      </c>
      <c r="J224" s="18" t="s">
        <v>411</v>
      </c>
      <c r="K224" s="18" t="s">
        <v>98</v>
      </c>
      <c r="L224" s="17" t="s">
        <v>132</v>
      </c>
      <c r="M224" s="17">
        <v>48</v>
      </c>
      <c r="N224" s="18" t="str">
        <f t="shared" si="11"/>
        <v>محكمة بني سويف الابتدائية</v>
      </c>
      <c r="O224" s="18" t="s">
        <v>204</v>
      </c>
      <c r="P224" s="17" t="s">
        <v>205</v>
      </c>
      <c r="AJ224" s="17" t="s">
        <v>174</v>
      </c>
    </row>
    <row r="225" spans="6:36" x14ac:dyDescent="0.3">
      <c r="F225" s="18" t="str">
        <f t="shared" si="10"/>
        <v>الدائرة الثانية جزئي</v>
      </c>
      <c r="G225" s="17">
        <v>81</v>
      </c>
      <c r="H225" s="17" t="s">
        <v>65</v>
      </c>
      <c r="I225" s="17">
        <v>200434</v>
      </c>
      <c r="J225" s="18" t="s">
        <v>412</v>
      </c>
      <c r="K225" s="18" t="s">
        <v>98</v>
      </c>
      <c r="L225" s="17" t="s">
        <v>134</v>
      </c>
      <c r="M225" s="17">
        <v>49</v>
      </c>
      <c r="N225" s="18" t="str">
        <f t="shared" si="11"/>
        <v>محكمة بني سويف الابتدائية</v>
      </c>
      <c r="O225" s="18" t="s">
        <v>227</v>
      </c>
      <c r="P225" s="17" t="s">
        <v>228</v>
      </c>
      <c r="AJ225" s="17" t="s">
        <v>174</v>
      </c>
    </row>
    <row r="226" spans="6:36" x14ac:dyDescent="0.3">
      <c r="F226" s="18" t="str">
        <f t="shared" si="10"/>
        <v>الدائرة الثانية جزئي</v>
      </c>
      <c r="G226" s="17">
        <v>81</v>
      </c>
      <c r="H226" s="17" t="s">
        <v>65</v>
      </c>
      <c r="I226" s="17">
        <v>200435</v>
      </c>
      <c r="J226" s="18" t="s">
        <v>413</v>
      </c>
      <c r="K226" s="18" t="s">
        <v>120</v>
      </c>
      <c r="L226" s="17" t="s">
        <v>134</v>
      </c>
      <c r="M226" s="17">
        <v>50</v>
      </c>
      <c r="N226" s="18" t="str">
        <f t="shared" si="11"/>
        <v>محكمة بني سويف الابتدائية</v>
      </c>
      <c r="O226" s="18" t="s">
        <v>349</v>
      </c>
      <c r="P226" s="17" t="s">
        <v>350</v>
      </c>
      <c r="AJ226" s="17" t="s">
        <v>254</v>
      </c>
    </row>
    <row r="227" spans="6:36" x14ac:dyDescent="0.3">
      <c r="F227" s="18" t="str">
        <f t="shared" si="10"/>
        <v>الدائرة الثانية جزئي</v>
      </c>
      <c r="G227" s="17">
        <v>81</v>
      </c>
      <c r="H227" s="17" t="s">
        <v>65</v>
      </c>
      <c r="I227" s="17">
        <v>200436</v>
      </c>
      <c r="J227" s="18" t="s">
        <v>303</v>
      </c>
      <c r="K227" s="18" t="s">
        <v>101</v>
      </c>
      <c r="L227" s="17" t="s">
        <v>134</v>
      </c>
      <c r="M227" s="17">
        <v>51</v>
      </c>
      <c r="N227" s="18" t="str">
        <f t="shared" si="11"/>
        <v>محكمة بني سويف الابتدائية</v>
      </c>
      <c r="O227" s="18" t="s">
        <v>352</v>
      </c>
      <c r="P227" s="17" t="s">
        <v>353</v>
      </c>
      <c r="AJ227" s="17" t="s">
        <v>174</v>
      </c>
    </row>
    <row r="228" spans="6:36" x14ac:dyDescent="0.3">
      <c r="F228" s="18" t="str">
        <f t="shared" si="10"/>
        <v>الدائرة الثانية جزئي</v>
      </c>
      <c r="G228" s="17">
        <v>81</v>
      </c>
      <c r="H228" s="17" t="s">
        <v>65</v>
      </c>
      <c r="I228" s="17">
        <v>200439</v>
      </c>
      <c r="J228" s="18" t="s">
        <v>414</v>
      </c>
      <c r="K228" s="18" t="s">
        <v>98</v>
      </c>
      <c r="L228" s="17" t="s">
        <v>135</v>
      </c>
      <c r="M228" s="17">
        <v>52</v>
      </c>
      <c r="N228" s="18" t="str">
        <f t="shared" si="11"/>
        <v>محكمة بني سويف الابتدائية</v>
      </c>
      <c r="O228" s="18" t="s">
        <v>405</v>
      </c>
      <c r="P228" s="17" t="s">
        <v>406</v>
      </c>
      <c r="AJ228" s="17" t="s">
        <v>174</v>
      </c>
    </row>
    <row r="229" spans="6:36" x14ac:dyDescent="0.3">
      <c r="F229" s="18" t="str">
        <f t="shared" si="10"/>
        <v>الدائرة الثانية جزئي</v>
      </c>
      <c r="G229" s="17">
        <v>81</v>
      </c>
      <c r="H229" s="17" t="s">
        <v>65</v>
      </c>
      <c r="I229" s="17">
        <v>200441</v>
      </c>
      <c r="J229" s="18" t="s">
        <v>415</v>
      </c>
      <c r="K229" s="18" t="s">
        <v>98</v>
      </c>
      <c r="L229" s="17" t="s">
        <v>136</v>
      </c>
      <c r="M229" s="17">
        <v>53</v>
      </c>
      <c r="N229" s="18" t="str">
        <f t="shared" si="11"/>
        <v>محكمة بني سويف الابتدائية</v>
      </c>
      <c r="O229" s="18" t="s">
        <v>179</v>
      </c>
      <c r="P229" s="17" t="s">
        <v>180</v>
      </c>
      <c r="AJ229" s="17" t="s">
        <v>174</v>
      </c>
    </row>
    <row r="230" spans="6:36" x14ac:dyDescent="0.3">
      <c r="F230" s="18" t="str">
        <f t="shared" si="10"/>
        <v>الدائرة الثالثة جزئي</v>
      </c>
      <c r="G230" s="17">
        <v>82</v>
      </c>
      <c r="H230" s="17" t="s">
        <v>65</v>
      </c>
      <c r="I230" s="17">
        <v>200443</v>
      </c>
      <c r="J230" s="18" t="s">
        <v>416</v>
      </c>
      <c r="K230" s="18" t="s">
        <v>98</v>
      </c>
      <c r="L230" s="17" t="s">
        <v>134</v>
      </c>
      <c r="M230" s="17">
        <v>54</v>
      </c>
      <c r="N230" s="18" t="str">
        <f t="shared" si="11"/>
        <v>محكمة بني سويف الابتدائية</v>
      </c>
      <c r="O230" s="18" t="s">
        <v>176</v>
      </c>
      <c r="P230" s="17" t="s">
        <v>177</v>
      </c>
      <c r="AJ230" s="17" t="s">
        <v>174</v>
      </c>
    </row>
    <row r="231" spans="6:36" x14ac:dyDescent="0.3">
      <c r="F231" s="18" t="str">
        <f t="shared" si="10"/>
        <v>الدائرة الثالثة جزئي</v>
      </c>
      <c r="G231" s="17">
        <v>82</v>
      </c>
      <c r="H231" s="17" t="s">
        <v>65</v>
      </c>
      <c r="I231" s="17">
        <v>200444</v>
      </c>
      <c r="J231" s="18" t="s">
        <v>417</v>
      </c>
      <c r="K231" s="18" t="s">
        <v>98</v>
      </c>
      <c r="L231" s="17" t="s">
        <v>135</v>
      </c>
      <c r="M231" s="17">
        <v>55</v>
      </c>
      <c r="N231" s="18" t="str">
        <f t="shared" si="11"/>
        <v>محكمة بني سويف الابتدائية</v>
      </c>
      <c r="O231" s="18" t="s">
        <v>195</v>
      </c>
      <c r="P231" s="17" t="s">
        <v>196</v>
      </c>
      <c r="AJ231" s="17" t="s">
        <v>174</v>
      </c>
    </row>
    <row r="232" spans="6:36" x14ac:dyDescent="0.3">
      <c r="F232" s="18" t="str">
        <f t="shared" si="10"/>
        <v>الدائرة الثالثة جزئي</v>
      </c>
      <c r="G232" s="17">
        <v>82</v>
      </c>
      <c r="H232" s="17" t="s">
        <v>65</v>
      </c>
      <c r="I232" s="17">
        <v>200445</v>
      </c>
      <c r="J232" s="18" t="s">
        <v>418</v>
      </c>
      <c r="K232" s="18" t="s">
        <v>117</v>
      </c>
      <c r="L232" s="17" t="s">
        <v>135</v>
      </c>
      <c r="M232" s="17">
        <v>56</v>
      </c>
      <c r="N232" s="18" t="str">
        <f t="shared" si="11"/>
        <v>محكمة بني سويف الابتدائية</v>
      </c>
      <c r="O232" s="18" t="s">
        <v>193</v>
      </c>
      <c r="P232" s="17" t="s">
        <v>194</v>
      </c>
      <c r="AJ232" s="17" t="s">
        <v>254</v>
      </c>
    </row>
    <row r="233" spans="6:36" x14ac:dyDescent="0.3">
      <c r="F233" s="18" t="str">
        <f t="shared" si="10"/>
        <v>الدائرة الثالثة جزئي</v>
      </c>
      <c r="G233" s="17">
        <v>82</v>
      </c>
      <c r="H233" s="17" t="s">
        <v>65</v>
      </c>
      <c r="I233" s="17">
        <v>200446</v>
      </c>
      <c r="J233" s="18" t="s">
        <v>419</v>
      </c>
      <c r="K233" s="18" t="s">
        <v>83</v>
      </c>
      <c r="L233" s="17" t="s">
        <v>135</v>
      </c>
      <c r="M233" s="17">
        <v>57</v>
      </c>
      <c r="N233" s="18" t="str">
        <f t="shared" si="11"/>
        <v>محكمة بني سويف الابتدائية</v>
      </c>
      <c r="O233" s="18" t="s">
        <v>207</v>
      </c>
      <c r="P233" s="17" t="s">
        <v>208</v>
      </c>
      <c r="AJ233" s="17" t="s">
        <v>254</v>
      </c>
    </row>
    <row r="234" spans="6:36" x14ac:dyDescent="0.3">
      <c r="F234" s="18" t="str">
        <f t="shared" si="10"/>
        <v>الدائرة الثالثة جزئي</v>
      </c>
      <c r="G234" s="17">
        <v>82</v>
      </c>
      <c r="H234" s="17" t="s">
        <v>65</v>
      </c>
      <c r="I234" s="17">
        <v>200447</v>
      </c>
      <c r="J234" s="18" t="s">
        <v>420</v>
      </c>
      <c r="K234" s="18" t="s">
        <v>94</v>
      </c>
      <c r="L234" s="17" t="s">
        <v>135</v>
      </c>
      <c r="M234" s="17">
        <v>58</v>
      </c>
      <c r="N234" s="18" t="str">
        <f t="shared" si="11"/>
        <v>محكمة بني سويف الابتدائية</v>
      </c>
      <c r="O234" s="18" t="s">
        <v>204</v>
      </c>
      <c r="P234" s="17" t="s">
        <v>205</v>
      </c>
      <c r="AJ234" s="17" t="s">
        <v>254</v>
      </c>
    </row>
    <row r="235" spans="6:36" x14ac:dyDescent="0.3">
      <c r="F235" s="18" t="str">
        <f t="shared" si="10"/>
        <v>الدائرة الثالثة جزئي</v>
      </c>
      <c r="G235" s="17">
        <v>82</v>
      </c>
      <c r="H235" s="17" t="s">
        <v>65</v>
      </c>
      <c r="I235" s="17">
        <v>200448</v>
      </c>
      <c r="J235" s="18" t="s">
        <v>421</v>
      </c>
      <c r="K235" s="18" t="s">
        <v>96</v>
      </c>
      <c r="L235" s="17" t="s">
        <v>135</v>
      </c>
      <c r="M235" s="17">
        <v>59</v>
      </c>
      <c r="N235" s="18" t="str">
        <f t="shared" si="11"/>
        <v>محكمة بني سويف الابتدائية</v>
      </c>
      <c r="O235" s="18" t="s">
        <v>224</v>
      </c>
      <c r="P235" s="17" t="s">
        <v>225</v>
      </c>
      <c r="AJ235" s="17" t="s">
        <v>254</v>
      </c>
    </row>
    <row r="236" spans="6:36" x14ac:dyDescent="0.3">
      <c r="F236" s="18" t="str">
        <f t="shared" si="10"/>
        <v>الدائرة الثالثة جزئي</v>
      </c>
      <c r="G236" s="17">
        <v>82</v>
      </c>
      <c r="H236" s="17" t="s">
        <v>65</v>
      </c>
      <c r="I236" s="17">
        <v>200449</v>
      </c>
      <c r="J236" s="18" t="s">
        <v>422</v>
      </c>
      <c r="K236" s="18" t="s">
        <v>95</v>
      </c>
      <c r="L236" s="17" t="s">
        <v>135</v>
      </c>
      <c r="M236" s="17">
        <v>60</v>
      </c>
      <c r="N236" s="18" t="str">
        <f t="shared" si="11"/>
        <v>محكمة بني سويف الابتدائية</v>
      </c>
      <c r="O236" s="18" t="s">
        <v>227</v>
      </c>
      <c r="P236" s="17" t="s">
        <v>228</v>
      </c>
      <c r="AJ236" s="17" t="s">
        <v>254</v>
      </c>
    </row>
    <row r="237" spans="6:36" x14ac:dyDescent="0.3">
      <c r="F237" s="18" t="str">
        <f t="shared" si="10"/>
        <v>الدائرة الثالثة جزئي</v>
      </c>
      <c r="G237" s="17">
        <v>82</v>
      </c>
      <c r="H237" s="17" t="s">
        <v>65</v>
      </c>
      <c r="I237" s="17">
        <v>200450</v>
      </c>
      <c r="J237" s="18" t="s">
        <v>423</v>
      </c>
      <c r="K237" s="18" t="s">
        <v>97</v>
      </c>
      <c r="L237" s="17" t="s">
        <v>135</v>
      </c>
      <c r="M237" s="17">
        <v>61</v>
      </c>
      <c r="N237" s="18" t="str">
        <f t="shared" si="11"/>
        <v>محكمة بني سويف الابتدائية</v>
      </c>
      <c r="O237" s="18" t="s">
        <v>349</v>
      </c>
      <c r="P237" s="17" t="s">
        <v>350</v>
      </c>
      <c r="AJ237" s="17" t="s">
        <v>254</v>
      </c>
    </row>
    <row r="238" spans="6:36" x14ac:dyDescent="0.3">
      <c r="F238" s="18" t="str">
        <f t="shared" si="10"/>
        <v>الدائرة الثالثة جزئي</v>
      </c>
      <c r="G238" s="17">
        <v>82</v>
      </c>
      <c r="H238" s="17" t="s">
        <v>65</v>
      </c>
      <c r="I238" s="17">
        <v>200451</v>
      </c>
      <c r="J238" s="18" t="s">
        <v>424</v>
      </c>
      <c r="K238" s="18" t="s">
        <v>98</v>
      </c>
      <c r="L238" s="17" t="s">
        <v>136</v>
      </c>
      <c r="M238" s="17">
        <v>62</v>
      </c>
      <c r="N238" s="18" t="str">
        <f t="shared" si="11"/>
        <v>محكمة بني سويف الابتدائية</v>
      </c>
      <c r="O238" s="18" t="s">
        <v>352</v>
      </c>
      <c r="P238" s="17" t="s">
        <v>353</v>
      </c>
      <c r="AJ238" s="17" t="s">
        <v>174</v>
      </c>
    </row>
    <row r="239" spans="6:36" x14ac:dyDescent="0.3">
      <c r="F239" s="18" t="str">
        <f t="shared" si="10"/>
        <v>الدائرة الثالثة جزئي</v>
      </c>
      <c r="G239" s="17">
        <v>82</v>
      </c>
      <c r="H239" s="17" t="s">
        <v>65</v>
      </c>
      <c r="I239" s="17">
        <v>200452</v>
      </c>
      <c r="J239" s="18" t="s">
        <v>313</v>
      </c>
      <c r="K239" s="18" t="s">
        <v>83</v>
      </c>
      <c r="L239" s="17" t="s">
        <v>136</v>
      </c>
      <c r="M239" s="17">
        <v>63</v>
      </c>
      <c r="N239" s="18" t="str">
        <f t="shared" si="11"/>
        <v>محكمة بني سويف الابتدائية</v>
      </c>
      <c r="O239" s="18" t="s">
        <v>370</v>
      </c>
      <c r="P239" s="17" t="s">
        <v>371</v>
      </c>
      <c r="AJ239" s="17" t="s">
        <v>254</v>
      </c>
    </row>
    <row r="240" spans="6:36" x14ac:dyDescent="0.3">
      <c r="F240" s="18" t="str">
        <f t="shared" si="10"/>
        <v>الدائرة الأولى جزئي</v>
      </c>
      <c r="G240" s="17">
        <v>83</v>
      </c>
      <c r="H240" s="17" t="s">
        <v>65</v>
      </c>
      <c r="I240" s="17">
        <v>200453</v>
      </c>
      <c r="J240" s="18" t="s">
        <v>425</v>
      </c>
      <c r="K240" s="18" t="s">
        <v>98</v>
      </c>
      <c r="L240" s="17" t="s">
        <v>131</v>
      </c>
      <c r="M240" s="17">
        <v>64</v>
      </c>
      <c r="N240" s="18" t="str">
        <f t="shared" si="11"/>
        <v>محكمة بني سويف الابتدائية</v>
      </c>
      <c r="O240" s="18" t="s">
        <v>373</v>
      </c>
      <c r="P240" s="17" t="s">
        <v>374</v>
      </c>
      <c r="AJ240" s="17" t="s">
        <v>174</v>
      </c>
    </row>
    <row r="241" spans="6:36" x14ac:dyDescent="0.3">
      <c r="F241" s="18" t="str">
        <f t="shared" si="10"/>
        <v>الدائرة الأولى جزئي</v>
      </c>
      <c r="G241" s="17">
        <v>83</v>
      </c>
      <c r="H241" s="17" t="s">
        <v>65</v>
      </c>
      <c r="I241" s="17">
        <v>200455</v>
      </c>
      <c r="J241" s="18" t="s">
        <v>426</v>
      </c>
      <c r="K241" s="18" t="s">
        <v>98</v>
      </c>
      <c r="L241" s="17" t="s">
        <v>132</v>
      </c>
      <c r="M241" s="17">
        <v>65</v>
      </c>
      <c r="N241" s="18" t="str">
        <f t="shared" si="11"/>
        <v>محكمة بني سويف الابتدائية</v>
      </c>
      <c r="O241" s="18" t="s">
        <v>392</v>
      </c>
      <c r="P241" s="17" t="s">
        <v>393</v>
      </c>
      <c r="AJ241" s="17" t="s">
        <v>174</v>
      </c>
    </row>
    <row r="242" spans="6:36" x14ac:dyDescent="0.3">
      <c r="F242" s="18" t="str">
        <f t="shared" si="10"/>
        <v>الدائرة الأولى جزئي</v>
      </c>
      <c r="G242" s="17">
        <v>83</v>
      </c>
      <c r="H242" s="17" t="s">
        <v>65</v>
      </c>
      <c r="I242" s="17">
        <v>200457</v>
      </c>
      <c r="J242" s="18" t="s">
        <v>427</v>
      </c>
      <c r="K242" s="18" t="s">
        <v>98</v>
      </c>
      <c r="L242" s="17" t="s">
        <v>133</v>
      </c>
      <c r="M242" s="17">
        <v>66</v>
      </c>
      <c r="N242" s="18" t="str">
        <f t="shared" si="11"/>
        <v>محكمة بني سويف الابتدائية</v>
      </c>
      <c r="O242" s="18" t="s">
        <v>172</v>
      </c>
      <c r="P242" s="17" t="s">
        <v>173</v>
      </c>
      <c r="AJ242" s="17" t="s">
        <v>174</v>
      </c>
    </row>
    <row r="243" spans="6:36" x14ac:dyDescent="0.3">
      <c r="F243" s="18" t="str">
        <f t="shared" si="10"/>
        <v>الدائرة الأولى جزئي</v>
      </c>
      <c r="G243" s="17">
        <v>83</v>
      </c>
      <c r="H243" s="17" t="s">
        <v>65</v>
      </c>
      <c r="I243" s="17">
        <v>200458</v>
      </c>
      <c r="J243" s="18" t="s">
        <v>428</v>
      </c>
      <c r="K243" s="18" t="s">
        <v>120</v>
      </c>
      <c r="L243" s="17" t="s">
        <v>133</v>
      </c>
      <c r="M243" s="17">
        <v>67</v>
      </c>
      <c r="N243" s="18" t="str">
        <f t="shared" si="11"/>
        <v>محكمة بني سويف الابتدائية</v>
      </c>
      <c r="O243" s="18" t="s">
        <v>176</v>
      </c>
      <c r="P243" s="17" t="s">
        <v>177</v>
      </c>
      <c r="AJ243" s="17" t="s">
        <v>254</v>
      </c>
    </row>
    <row r="244" spans="6:36" x14ac:dyDescent="0.3">
      <c r="F244" s="18" t="str">
        <f t="shared" si="10"/>
        <v>الدائرة الثانية جزئي</v>
      </c>
      <c r="G244" s="17">
        <v>84</v>
      </c>
      <c r="H244" s="17" t="s">
        <v>65</v>
      </c>
      <c r="I244" s="17">
        <v>200461</v>
      </c>
      <c r="J244" s="18" t="s">
        <v>429</v>
      </c>
      <c r="K244" s="18" t="s">
        <v>98</v>
      </c>
      <c r="L244" s="17" t="s">
        <v>134</v>
      </c>
      <c r="M244" s="17">
        <v>68</v>
      </c>
      <c r="N244" s="18" t="str">
        <f t="shared" si="11"/>
        <v>محكمة بني سويف الابتدائية</v>
      </c>
      <c r="O244" s="18" t="s">
        <v>207</v>
      </c>
      <c r="P244" s="17" t="s">
        <v>208</v>
      </c>
      <c r="AJ244" s="17" t="s">
        <v>174</v>
      </c>
    </row>
    <row r="245" spans="6:36" x14ac:dyDescent="0.3">
      <c r="F245" s="18" t="str">
        <f t="shared" si="10"/>
        <v>الدائرة الثانية جزئي</v>
      </c>
      <c r="G245" s="17">
        <v>84</v>
      </c>
      <c r="H245" s="17" t="s">
        <v>65</v>
      </c>
      <c r="I245" s="17">
        <v>200462</v>
      </c>
      <c r="J245" s="18" t="s">
        <v>430</v>
      </c>
      <c r="K245" s="18" t="s">
        <v>98</v>
      </c>
      <c r="L245" s="17" t="s">
        <v>135</v>
      </c>
      <c r="M245" s="17">
        <v>69</v>
      </c>
      <c r="N245" s="18" t="str">
        <f t="shared" si="11"/>
        <v>محكمة بني سويف الابتدائية</v>
      </c>
      <c r="O245" s="18" t="s">
        <v>204</v>
      </c>
      <c r="P245" s="17" t="s">
        <v>205</v>
      </c>
      <c r="AJ245" s="17" t="s">
        <v>174</v>
      </c>
    </row>
    <row r="246" spans="6:36" x14ac:dyDescent="0.3">
      <c r="F246" s="18" t="str">
        <f t="shared" si="10"/>
        <v>الدائرة الثانية جزئي</v>
      </c>
      <c r="G246" s="17">
        <v>84</v>
      </c>
      <c r="H246" s="17" t="s">
        <v>65</v>
      </c>
      <c r="I246" s="17">
        <v>200463</v>
      </c>
      <c r="J246" s="18" t="s">
        <v>281</v>
      </c>
      <c r="K246" s="18" t="s">
        <v>101</v>
      </c>
      <c r="L246" s="17" t="s">
        <v>135</v>
      </c>
      <c r="M246" s="17">
        <v>70</v>
      </c>
      <c r="N246" s="18" t="str">
        <f t="shared" si="11"/>
        <v>محكمة بني سويف الابتدائية</v>
      </c>
      <c r="O246" s="18" t="s">
        <v>224</v>
      </c>
      <c r="P246" s="17" t="s">
        <v>225</v>
      </c>
      <c r="AJ246" s="17" t="s">
        <v>174</v>
      </c>
    </row>
    <row r="247" spans="6:36" x14ac:dyDescent="0.3">
      <c r="F247" s="18" t="str">
        <f t="shared" si="10"/>
        <v>الدائرة الثانية جزئي</v>
      </c>
      <c r="G247" s="17">
        <v>84</v>
      </c>
      <c r="H247" s="17" t="s">
        <v>65</v>
      </c>
      <c r="I247" s="17">
        <v>200464</v>
      </c>
      <c r="J247" s="18" t="s">
        <v>431</v>
      </c>
      <c r="K247" s="18" t="s">
        <v>98</v>
      </c>
      <c r="L247" s="17" t="s">
        <v>136</v>
      </c>
      <c r="M247" s="17">
        <v>71</v>
      </c>
      <c r="N247" s="18" t="str">
        <f t="shared" si="11"/>
        <v>محكمة بني سويف الابتدائية</v>
      </c>
      <c r="O247" s="18" t="s">
        <v>227</v>
      </c>
      <c r="P247" s="17" t="s">
        <v>228</v>
      </c>
      <c r="AJ247" s="17" t="s">
        <v>174</v>
      </c>
    </row>
    <row r="248" spans="6:36" x14ac:dyDescent="0.3">
      <c r="F248" s="18" t="str">
        <f t="shared" si="10"/>
        <v>الدائرة الثانية جزئي</v>
      </c>
      <c r="G248" s="17">
        <v>84</v>
      </c>
      <c r="H248" s="17" t="s">
        <v>65</v>
      </c>
      <c r="I248" s="17">
        <v>200465</v>
      </c>
      <c r="J248" s="18" t="s">
        <v>432</v>
      </c>
      <c r="K248" s="18" t="s">
        <v>117</v>
      </c>
      <c r="L248" s="17" t="s">
        <v>136</v>
      </c>
      <c r="M248" s="17">
        <v>72</v>
      </c>
      <c r="N248" s="18" t="str">
        <f t="shared" si="11"/>
        <v>محكمة بني سويف الابتدائية</v>
      </c>
      <c r="O248" s="18" t="s">
        <v>349</v>
      </c>
      <c r="P248" s="17" t="s">
        <v>350</v>
      </c>
      <c r="AJ248" s="17" t="s">
        <v>254</v>
      </c>
    </row>
    <row r="249" spans="6:36" x14ac:dyDescent="0.3">
      <c r="F249" s="18" t="str">
        <f t="shared" si="10"/>
        <v>الدائرة الثانية جزئي</v>
      </c>
      <c r="G249" s="17">
        <v>84</v>
      </c>
      <c r="H249" s="17" t="s">
        <v>65</v>
      </c>
      <c r="I249" s="17">
        <v>200466</v>
      </c>
      <c r="J249" s="18" t="s">
        <v>433</v>
      </c>
      <c r="K249" s="18" t="s">
        <v>83</v>
      </c>
      <c r="L249" s="17" t="s">
        <v>136</v>
      </c>
      <c r="M249" s="17">
        <v>73</v>
      </c>
      <c r="N249" s="18" t="str">
        <f t="shared" si="11"/>
        <v>محكمة بني سويف الابتدائية</v>
      </c>
      <c r="O249" s="18" t="s">
        <v>352</v>
      </c>
      <c r="P249" s="17" t="s">
        <v>353</v>
      </c>
      <c r="AJ249" s="17" t="s">
        <v>254</v>
      </c>
    </row>
    <row r="250" spans="6:36" x14ac:dyDescent="0.3">
      <c r="F250" s="18" t="str">
        <f t="shared" si="10"/>
        <v>الدائرة الثانية جزئي</v>
      </c>
      <c r="G250" s="17">
        <v>84</v>
      </c>
      <c r="H250" s="17" t="s">
        <v>65</v>
      </c>
      <c r="I250" s="17">
        <v>200467</v>
      </c>
      <c r="J250" s="18" t="s">
        <v>434</v>
      </c>
      <c r="K250" s="18" t="s">
        <v>94</v>
      </c>
      <c r="L250" s="17" t="s">
        <v>136</v>
      </c>
      <c r="M250" s="17">
        <v>74</v>
      </c>
      <c r="N250" s="18" t="str">
        <f t="shared" si="11"/>
        <v>محكمة بني سويف الابتدائية</v>
      </c>
      <c r="O250" s="18" t="s">
        <v>370</v>
      </c>
      <c r="P250" s="17" t="s">
        <v>371</v>
      </c>
      <c r="AJ250" s="17" t="s">
        <v>254</v>
      </c>
    </row>
    <row r="251" spans="6:36" x14ac:dyDescent="0.3">
      <c r="F251" s="18" t="str">
        <f t="shared" si="10"/>
        <v>الدائرة الثانية جزئي</v>
      </c>
      <c r="G251" s="17">
        <v>84</v>
      </c>
      <c r="H251" s="17" t="s">
        <v>65</v>
      </c>
      <c r="I251" s="17">
        <v>200468</v>
      </c>
      <c r="J251" s="18" t="s">
        <v>435</v>
      </c>
      <c r="K251" s="18" t="s">
        <v>96</v>
      </c>
      <c r="L251" s="17" t="s">
        <v>136</v>
      </c>
      <c r="M251" s="17">
        <v>75</v>
      </c>
      <c r="N251" s="18" t="str">
        <f t="shared" si="11"/>
        <v>محكمة بني سويف الابتدائية</v>
      </c>
      <c r="O251" s="18" t="s">
        <v>373</v>
      </c>
      <c r="P251" s="17" t="s">
        <v>374</v>
      </c>
      <c r="AJ251" s="17" t="s">
        <v>254</v>
      </c>
    </row>
    <row r="252" spans="6:36" x14ac:dyDescent="0.3">
      <c r="F252" s="18" t="str">
        <f t="shared" si="10"/>
        <v>الدائرة الثانية جزئي</v>
      </c>
      <c r="G252" s="17">
        <v>84</v>
      </c>
      <c r="H252" s="17" t="s">
        <v>65</v>
      </c>
      <c r="I252" s="17">
        <v>200469</v>
      </c>
      <c r="J252" s="18" t="s">
        <v>436</v>
      </c>
      <c r="K252" s="18" t="s">
        <v>95</v>
      </c>
      <c r="L252" s="17" t="s">
        <v>136</v>
      </c>
      <c r="M252" s="17">
        <v>76</v>
      </c>
      <c r="N252" s="18" t="str">
        <f t="shared" si="11"/>
        <v>محكمة بني سويف الابتدائية</v>
      </c>
      <c r="O252" s="18" t="s">
        <v>405</v>
      </c>
      <c r="P252" s="17" t="s">
        <v>406</v>
      </c>
      <c r="AJ252" s="17" t="s">
        <v>254</v>
      </c>
    </row>
    <row r="253" spans="6:36" x14ac:dyDescent="0.3">
      <c r="F253" s="18" t="str">
        <f t="shared" si="10"/>
        <v>الدائرة الثانية جزئي</v>
      </c>
      <c r="G253" s="17">
        <v>84</v>
      </c>
      <c r="H253" s="17" t="s">
        <v>65</v>
      </c>
      <c r="I253" s="17">
        <v>200470</v>
      </c>
      <c r="J253" s="18" t="s">
        <v>437</v>
      </c>
      <c r="K253" s="18" t="s">
        <v>97</v>
      </c>
      <c r="L253" s="17" t="s">
        <v>136</v>
      </c>
      <c r="M253" s="17">
        <v>77</v>
      </c>
      <c r="N253" s="18" t="str">
        <f t="shared" si="11"/>
        <v>محكمة بني سويف الابتدائية</v>
      </c>
      <c r="O253" s="18" t="s">
        <v>392</v>
      </c>
      <c r="P253" s="17" t="s">
        <v>393</v>
      </c>
      <c r="AJ253" s="17" t="s">
        <v>254</v>
      </c>
    </row>
    <row r="254" spans="6:36" x14ac:dyDescent="0.3">
      <c r="F254" s="18" t="str">
        <f t="shared" si="10"/>
        <v>الدائرة الأولى جزئي</v>
      </c>
      <c r="G254" s="17">
        <v>85</v>
      </c>
      <c r="H254" s="17" t="s">
        <v>65</v>
      </c>
      <c r="I254" s="17">
        <v>200471</v>
      </c>
      <c r="J254" s="18" t="s">
        <v>438</v>
      </c>
      <c r="K254" s="18" t="s">
        <v>98</v>
      </c>
      <c r="L254" s="17" t="s">
        <v>131</v>
      </c>
      <c r="M254" s="17">
        <v>78</v>
      </c>
      <c r="N254" s="18" t="str">
        <f t="shared" si="11"/>
        <v>محكمة بني سويف الابتدائية</v>
      </c>
      <c r="O254" s="18" t="s">
        <v>179</v>
      </c>
      <c r="P254" s="17" t="s">
        <v>180</v>
      </c>
      <c r="AJ254" s="17" t="s">
        <v>174</v>
      </c>
    </row>
    <row r="255" spans="6:36" x14ac:dyDescent="0.3">
      <c r="F255" s="18" t="str">
        <f t="shared" si="10"/>
        <v>الدائرة الأولى جزئي</v>
      </c>
      <c r="G255" s="17">
        <v>85</v>
      </c>
      <c r="H255" s="17" t="s">
        <v>65</v>
      </c>
      <c r="I255" s="17">
        <v>200472</v>
      </c>
      <c r="J255" s="18" t="s">
        <v>439</v>
      </c>
      <c r="K255" s="18" t="s">
        <v>117</v>
      </c>
      <c r="L255" s="17" t="s">
        <v>131</v>
      </c>
      <c r="M255" s="17">
        <v>79</v>
      </c>
      <c r="N255" s="18" t="str">
        <f t="shared" si="11"/>
        <v>محكمة بني سويف الابتدائية</v>
      </c>
      <c r="O255" s="18" t="s">
        <v>172</v>
      </c>
      <c r="P255" s="17" t="s">
        <v>173</v>
      </c>
      <c r="AJ255" s="17" t="s">
        <v>254</v>
      </c>
    </row>
    <row r="256" spans="6:36" x14ac:dyDescent="0.3">
      <c r="F256" s="18" t="str">
        <f t="shared" si="10"/>
        <v>الدائرة الأولى جزئي</v>
      </c>
      <c r="G256" s="17">
        <v>85</v>
      </c>
      <c r="H256" s="17" t="s">
        <v>65</v>
      </c>
      <c r="I256" s="17">
        <v>200473</v>
      </c>
      <c r="J256" s="18" t="s">
        <v>440</v>
      </c>
      <c r="K256" s="18" t="s">
        <v>83</v>
      </c>
      <c r="L256" s="17" t="s">
        <v>131</v>
      </c>
      <c r="M256" s="17">
        <v>80</v>
      </c>
      <c r="N256" s="18" t="str">
        <f t="shared" si="11"/>
        <v>محكمة بني سويف الابتدائية</v>
      </c>
      <c r="O256" s="18" t="s">
        <v>176</v>
      </c>
      <c r="P256" s="17" t="s">
        <v>177</v>
      </c>
      <c r="AJ256" s="17" t="s">
        <v>254</v>
      </c>
    </row>
    <row r="257" spans="6:36" x14ac:dyDescent="0.3">
      <c r="F257" s="18" t="str">
        <f t="shared" si="10"/>
        <v>الدائرة الأولى جزئي</v>
      </c>
      <c r="G257" s="17">
        <v>85</v>
      </c>
      <c r="H257" s="17" t="s">
        <v>65</v>
      </c>
      <c r="I257" s="17">
        <v>200474</v>
      </c>
      <c r="J257" s="18" t="s">
        <v>441</v>
      </c>
      <c r="K257" s="18" t="s">
        <v>94</v>
      </c>
      <c r="L257" s="17" t="s">
        <v>131</v>
      </c>
      <c r="M257" s="17">
        <v>81</v>
      </c>
      <c r="N257" s="18" t="str">
        <f t="shared" si="11"/>
        <v>محكمة بني سويف الابتدائية</v>
      </c>
      <c r="O257" s="18" t="s">
        <v>195</v>
      </c>
      <c r="P257" s="17" t="s">
        <v>196</v>
      </c>
      <c r="AJ257" s="17" t="s">
        <v>254</v>
      </c>
    </row>
    <row r="258" spans="6:36" x14ac:dyDescent="0.3">
      <c r="F258" s="18" t="str">
        <f t="shared" si="10"/>
        <v>الدائرة الأولى جزئي</v>
      </c>
      <c r="G258" s="17">
        <v>85</v>
      </c>
      <c r="H258" s="17" t="s">
        <v>65</v>
      </c>
      <c r="I258" s="17">
        <v>200475</v>
      </c>
      <c r="J258" s="18" t="s">
        <v>442</v>
      </c>
      <c r="K258" s="18" t="s">
        <v>96</v>
      </c>
      <c r="L258" s="17" t="s">
        <v>131</v>
      </c>
      <c r="M258" s="17">
        <v>82</v>
      </c>
      <c r="N258" s="18" t="str">
        <f t="shared" si="11"/>
        <v>محكمة بني سويف الابتدائية</v>
      </c>
      <c r="O258" s="18" t="s">
        <v>193</v>
      </c>
      <c r="P258" s="17" t="s">
        <v>194</v>
      </c>
      <c r="AJ258" s="17" t="s">
        <v>254</v>
      </c>
    </row>
    <row r="259" spans="6:36" x14ac:dyDescent="0.3">
      <c r="F259" s="18" t="str">
        <f t="shared" si="10"/>
        <v>الدائرة الأولى جزئي</v>
      </c>
      <c r="G259" s="17">
        <v>85</v>
      </c>
      <c r="H259" s="17" t="s">
        <v>65</v>
      </c>
      <c r="I259" s="17">
        <v>200476</v>
      </c>
      <c r="J259" s="18" t="s">
        <v>443</v>
      </c>
      <c r="K259" s="18" t="s">
        <v>95</v>
      </c>
      <c r="L259" s="17" t="s">
        <v>131</v>
      </c>
      <c r="M259" s="17">
        <v>83</v>
      </c>
      <c r="N259" s="18" t="str">
        <f t="shared" si="11"/>
        <v>محكمة بني سويف الابتدائية</v>
      </c>
      <c r="O259" s="18" t="s">
        <v>207</v>
      </c>
      <c r="P259" s="17" t="s">
        <v>208</v>
      </c>
      <c r="AJ259" s="17" t="s">
        <v>254</v>
      </c>
    </row>
    <row r="260" spans="6:36" x14ac:dyDescent="0.3">
      <c r="F260" s="18" t="str">
        <f t="shared" si="10"/>
        <v>الدائرة الأولى جزئي</v>
      </c>
      <c r="G260" s="17">
        <v>85</v>
      </c>
      <c r="H260" s="17" t="s">
        <v>65</v>
      </c>
      <c r="I260" s="17">
        <v>200477</v>
      </c>
      <c r="J260" s="18" t="s">
        <v>444</v>
      </c>
      <c r="K260" s="18" t="s">
        <v>97</v>
      </c>
      <c r="L260" s="17" t="s">
        <v>131</v>
      </c>
      <c r="M260" s="17">
        <v>84</v>
      </c>
      <c r="N260" s="18" t="str">
        <f t="shared" si="11"/>
        <v>محكمة بني سويف الابتدائية</v>
      </c>
      <c r="O260" s="18" t="s">
        <v>204</v>
      </c>
      <c r="P260" s="17" t="s">
        <v>205</v>
      </c>
      <c r="AJ260" s="17" t="s">
        <v>254</v>
      </c>
    </row>
    <row r="261" spans="6:36" x14ac:dyDescent="0.3">
      <c r="F261" s="18" t="str">
        <f t="shared" ref="F261:F324" si="12">IFERROR(VLOOKUP(G261, $A$5:$B$53, 2, FALSE), "")</f>
        <v>الدائرة الأولى جزئي</v>
      </c>
      <c r="G261" s="17">
        <v>85</v>
      </c>
      <c r="H261" s="17" t="s">
        <v>65</v>
      </c>
      <c r="I261" s="17">
        <v>200478</v>
      </c>
      <c r="J261" s="18" t="s">
        <v>445</v>
      </c>
      <c r="K261" s="18" t="s">
        <v>98</v>
      </c>
      <c r="L261" s="17" t="s">
        <v>132</v>
      </c>
      <c r="M261" s="17">
        <v>85</v>
      </c>
      <c r="N261" s="18" t="str">
        <f t="shared" ref="N261:N324" si="13">IFERROR(VLOOKUP(G261, $A$5:$C$53, 3, FALSE), "")</f>
        <v>محكمة بني سويف الابتدائية</v>
      </c>
      <c r="O261" s="18" t="s">
        <v>224</v>
      </c>
      <c r="P261" s="17" t="s">
        <v>225</v>
      </c>
      <c r="AJ261" s="17" t="s">
        <v>174</v>
      </c>
    </row>
    <row r="262" spans="6:36" x14ac:dyDescent="0.3">
      <c r="F262" s="18" t="str">
        <f t="shared" si="12"/>
        <v>الدائرة الأولى جزئي</v>
      </c>
      <c r="G262" s="17">
        <v>85</v>
      </c>
      <c r="H262" s="17" t="s">
        <v>65</v>
      </c>
      <c r="I262" s="17">
        <v>200479</v>
      </c>
      <c r="J262" s="18" t="s">
        <v>446</v>
      </c>
      <c r="K262" s="18" t="s">
        <v>120</v>
      </c>
      <c r="L262" s="17" t="s">
        <v>132</v>
      </c>
      <c r="M262" s="17">
        <v>86</v>
      </c>
      <c r="N262" s="18" t="str">
        <f t="shared" si="13"/>
        <v>محكمة بني سويف الابتدائية</v>
      </c>
      <c r="O262" s="18" t="s">
        <v>227</v>
      </c>
      <c r="P262" s="17" t="s">
        <v>228</v>
      </c>
      <c r="AJ262" s="17" t="s">
        <v>254</v>
      </c>
    </row>
    <row r="263" spans="6:36" x14ac:dyDescent="0.3">
      <c r="F263" s="18" t="str">
        <f t="shared" si="12"/>
        <v>الدائرة الأولى جزئي</v>
      </c>
      <c r="G263" s="17">
        <v>85</v>
      </c>
      <c r="H263" s="17" t="s">
        <v>65</v>
      </c>
      <c r="I263" s="17">
        <v>200481</v>
      </c>
      <c r="J263" s="18" t="s">
        <v>447</v>
      </c>
      <c r="K263" s="18" t="s">
        <v>98</v>
      </c>
      <c r="L263" s="17" t="s">
        <v>133</v>
      </c>
      <c r="M263" s="17">
        <v>87</v>
      </c>
      <c r="N263" s="18" t="str">
        <f t="shared" si="13"/>
        <v>محكمة بني سويف الابتدائية</v>
      </c>
      <c r="O263" s="18" t="s">
        <v>352</v>
      </c>
      <c r="P263" s="17" t="s">
        <v>353</v>
      </c>
      <c r="AJ263" s="17" t="s">
        <v>174</v>
      </c>
    </row>
    <row r="264" spans="6:36" x14ac:dyDescent="0.3">
      <c r="F264" s="18" t="str">
        <f t="shared" si="12"/>
        <v>الدائرة الثانية جزئي</v>
      </c>
      <c r="G264" s="17">
        <v>86</v>
      </c>
      <c r="H264" s="17" t="s">
        <v>65</v>
      </c>
      <c r="I264" s="17">
        <v>200483</v>
      </c>
      <c r="J264" s="18" t="s">
        <v>448</v>
      </c>
      <c r="K264" s="18" t="s">
        <v>98</v>
      </c>
      <c r="L264" s="17" t="s">
        <v>134</v>
      </c>
      <c r="M264" s="17">
        <v>88</v>
      </c>
      <c r="N264" s="18" t="str">
        <f t="shared" si="13"/>
        <v>محكمة بني سويف الابتدائية</v>
      </c>
      <c r="O264" s="18" t="s">
        <v>373</v>
      </c>
      <c r="P264" s="17" t="s">
        <v>374</v>
      </c>
      <c r="AJ264" s="17" t="s">
        <v>174</v>
      </c>
    </row>
    <row r="265" spans="6:36" x14ac:dyDescent="0.3">
      <c r="F265" s="18" t="str">
        <f t="shared" si="12"/>
        <v>الدائرة الثانية جزئي</v>
      </c>
      <c r="G265" s="17">
        <v>86</v>
      </c>
      <c r="H265" s="17" t="s">
        <v>65</v>
      </c>
      <c r="I265" s="17">
        <v>200484</v>
      </c>
      <c r="J265" s="18" t="s">
        <v>449</v>
      </c>
      <c r="K265" s="18" t="s">
        <v>98</v>
      </c>
      <c r="L265" s="17" t="s">
        <v>135</v>
      </c>
      <c r="M265" s="17">
        <v>89</v>
      </c>
      <c r="N265" s="18" t="str">
        <f t="shared" si="13"/>
        <v>محكمة بني سويف الابتدائية</v>
      </c>
      <c r="O265" s="18" t="s">
        <v>405</v>
      </c>
      <c r="P265" s="17" t="s">
        <v>406</v>
      </c>
      <c r="AJ265" s="17" t="s">
        <v>174</v>
      </c>
    </row>
    <row r="266" spans="6:36" x14ac:dyDescent="0.3">
      <c r="F266" s="18" t="str">
        <f t="shared" si="12"/>
        <v>الدائرة الثانية جزئي</v>
      </c>
      <c r="G266" s="17">
        <v>86</v>
      </c>
      <c r="H266" s="17" t="s">
        <v>65</v>
      </c>
      <c r="I266" s="17">
        <v>200485</v>
      </c>
      <c r="J266" s="18" t="s">
        <v>450</v>
      </c>
      <c r="K266" s="18" t="s">
        <v>101</v>
      </c>
      <c r="L266" s="17" t="s">
        <v>135</v>
      </c>
      <c r="M266" s="17">
        <v>90</v>
      </c>
      <c r="N266" s="18" t="str">
        <f t="shared" si="13"/>
        <v>محكمة بني سويف الابتدائية</v>
      </c>
      <c r="O266" s="18" t="s">
        <v>392</v>
      </c>
      <c r="P266" s="17" t="s">
        <v>393</v>
      </c>
      <c r="AJ266" s="17" t="s">
        <v>174</v>
      </c>
    </row>
    <row r="267" spans="6:36" x14ac:dyDescent="0.3">
      <c r="F267" s="18" t="str">
        <f t="shared" si="12"/>
        <v>الدائرة الثانية جزئي</v>
      </c>
      <c r="G267" s="17">
        <v>86</v>
      </c>
      <c r="H267" s="17" t="s">
        <v>65</v>
      </c>
      <c r="I267" s="17">
        <v>200488</v>
      </c>
      <c r="J267" s="18" t="s">
        <v>451</v>
      </c>
      <c r="K267" s="18" t="s">
        <v>98</v>
      </c>
      <c r="L267" s="17" t="s">
        <v>136</v>
      </c>
      <c r="M267" s="17">
        <v>91</v>
      </c>
      <c r="N267" s="18" t="str">
        <f t="shared" si="13"/>
        <v>محكمة بني سويف الابتدائية</v>
      </c>
      <c r="O267" s="18" t="s">
        <v>176</v>
      </c>
      <c r="P267" s="17" t="s">
        <v>177</v>
      </c>
      <c r="AJ267" s="17" t="s">
        <v>174</v>
      </c>
    </row>
    <row r="268" spans="6:36" x14ac:dyDescent="0.3">
      <c r="F268" s="18" t="str">
        <f t="shared" si="12"/>
        <v>الدائرة الأولى جزئي</v>
      </c>
      <c r="G268" s="17">
        <v>87</v>
      </c>
      <c r="H268" s="17" t="s">
        <v>65</v>
      </c>
      <c r="I268" s="17">
        <v>200489</v>
      </c>
      <c r="J268" s="18" t="s">
        <v>452</v>
      </c>
      <c r="K268" s="18" t="s">
        <v>98</v>
      </c>
      <c r="L268" s="17" t="s">
        <v>131</v>
      </c>
      <c r="M268" s="17">
        <v>92</v>
      </c>
      <c r="N268" s="18" t="str">
        <f t="shared" si="13"/>
        <v>محكمة بني سويف الابتدائية</v>
      </c>
      <c r="O268" s="18" t="s">
        <v>195</v>
      </c>
      <c r="P268" s="17" t="s">
        <v>196</v>
      </c>
      <c r="AJ268" s="17" t="s">
        <v>174</v>
      </c>
    </row>
    <row r="269" spans="6:36" x14ac:dyDescent="0.3">
      <c r="F269" s="18" t="str">
        <f t="shared" si="12"/>
        <v>الدائرة الأولى جزئي</v>
      </c>
      <c r="G269" s="17">
        <v>87</v>
      </c>
      <c r="H269" s="17" t="s">
        <v>65</v>
      </c>
      <c r="I269" s="17">
        <v>200490</v>
      </c>
      <c r="J269" s="18" t="s">
        <v>316</v>
      </c>
      <c r="K269" s="18" t="s">
        <v>101</v>
      </c>
      <c r="L269" s="17" t="s">
        <v>131</v>
      </c>
      <c r="M269" s="17">
        <v>93</v>
      </c>
      <c r="N269" s="18" t="str">
        <f t="shared" si="13"/>
        <v>محكمة بني سويف الابتدائية</v>
      </c>
      <c r="O269" s="18" t="s">
        <v>193</v>
      </c>
      <c r="P269" s="17" t="s">
        <v>194</v>
      </c>
      <c r="AJ269" s="17" t="s">
        <v>174</v>
      </c>
    </row>
    <row r="270" spans="6:36" x14ac:dyDescent="0.3">
      <c r="F270" s="18" t="str">
        <f t="shared" si="12"/>
        <v>الدائرة الأولى جزئي</v>
      </c>
      <c r="G270" s="17">
        <v>87</v>
      </c>
      <c r="H270" s="17" t="s">
        <v>65</v>
      </c>
      <c r="I270" s="17">
        <v>200492</v>
      </c>
      <c r="J270" s="18" t="s">
        <v>453</v>
      </c>
      <c r="K270" s="18" t="s">
        <v>98</v>
      </c>
      <c r="L270" s="17" t="s">
        <v>132</v>
      </c>
      <c r="M270" s="17">
        <v>94</v>
      </c>
      <c r="N270" s="18" t="str">
        <f t="shared" si="13"/>
        <v>محكمة بني سويف الابتدائية</v>
      </c>
      <c r="O270" s="18" t="s">
        <v>204</v>
      </c>
      <c r="P270" s="17" t="s">
        <v>205</v>
      </c>
      <c r="AJ270" s="17" t="s">
        <v>174</v>
      </c>
    </row>
    <row r="271" spans="6:36" x14ac:dyDescent="0.3">
      <c r="F271" s="18" t="str">
        <f t="shared" si="12"/>
        <v>الدائرة الأولى جزئي</v>
      </c>
      <c r="G271" s="17">
        <v>87</v>
      </c>
      <c r="H271" s="17" t="s">
        <v>65</v>
      </c>
      <c r="I271" s="17">
        <v>200493</v>
      </c>
      <c r="J271" s="18" t="s">
        <v>454</v>
      </c>
      <c r="K271" s="18" t="s">
        <v>98</v>
      </c>
      <c r="L271" s="17" t="s">
        <v>133</v>
      </c>
      <c r="M271" s="17">
        <v>95</v>
      </c>
      <c r="N271" s="18" t="str">
        <f t="shared" si="13"/>
        <v>محكمة بني سويف الابتدائية</v>
      </c>
      <c r="O271" s="18" t="s">
        <v>224</v>
      </c>
      <c r="P271" s="17" t="s">
        <v>225</v>
      </c>
      <c r="AJ271" s="17" t="s">
        <v>174</v>
      </c>
    </row>
    <row r="272" spans="6:36" x14ac:dyDescent="0.3">
      <c r="F272" s="18" t="str">
        <f t="shared" si="12"/>
        <v>الدائرة الأولى جزئي</v>
      </c>
      <c r="G272" s="17">
        <v>87</v>
      </c>
      <c r="H272" s="17" t="s">
        <v>65</v>
      </c>
      <c r="I272" s="17">
        <v>200494</v>
      </c>
      <c r="J272" s="18" t="s">
        <v>455</v>
      </c>
      <c r="K272" s="18" t="s">
        <v>117</v>
      </c>
      <c r="L272" s="17" t="s">
        <v>133</v>
      </c>
      <c r="M272" s="17">
        <v>96</v>
      </c>
      <c r="N272" s="18" t="str">
        <f t="shared" si="13"/>
        <v>محكمة بني سويف الابتدائية</v>
      </c>
      <c r="O272" s="18" t="s">
        <v>227</v>
      </c>
      <c r="P272" s="17" t="s">
        <v>228</v>
      </c>
      <c r="AJ272" s="17" t="s">
        <v>254</v>
      </c>
    </row>
    <row r="273" spans="6:36" x14ac:dyDescent="0.3">
      <c r="F273" s="18" t="str">
        <f t="shared" si="12"/>
        <v>الدائرة الأولى جزئي</v>
      </c>
      <c r="G273" s="17">
        <v>87</v>
      </c>
      <c r="H273" s="17" t="s">
        <v>65</v>
      </c>
      <c r="I273" s="17">
        <v>200495</v>
      </c>
      <c r="J273" s="18" t="s">
        <v>456</v>
      </c>
      <c r="K273" s="18" t="s">
        <v>83</v>
      </c>
      <c r="L273" s="17" t="s">
        <v>133</v>
      </c>
      <c r="M273" s="17">
        <v>97</v>
      </c>
      <c r="N273" s="18" t="str">
        <f t="shared" si="13"/>
        <v>محكمة بني سويف الابتدائية</v>
      </c>
      <c r="O273" s="18" t="s">
        <v>349</v>
      </c>
      <c r="P273" s="17" t="s">
        <v>350</v>
      </c>
      <c r="AJ273" s="17" t="s">
        <v>254</v>
      </c>
    </row>
    <row r="274" spans="6:36" x14ac:dyDescent="0.3">
      <c r="F274" s="18" t="str">
        <f t="shared" si="12"/>
        <v>الدائرة الأولى جزئي</v>
      </c>
      <c r="G274" s="17">
        <v>87</v>
      </c>
      <c r="H274" s="17" t="s">
        <v>65</v>
      </c>
      <c r="I274" s="17">
        <v>200496</v>
      </c>
      <c r="J274" s="18" t="s">
        <v>457</v>
      </c>
      <c r="K274" s="18" t="s">
        <v>94</v>
      </c>
      <c r="L274" s="17" t="s">
        <v>133</v>
      </c>
      <c r="M274" s="17">
        <v>98</v>
      </c>
      <c r="N274" s="18" t="str">
        <f t="shared" si="13"/>
        <v>محكمة بني سويف الابتدائية</v>
      </c>
      <c r="O274" s="18" t="s">
        <v>352</v>
      </c>
      <c r="P274" s="17" t="s">
        <v>353</v>
      </c>
      <c r="AJ274" s="17" t="s">
        <v>254</v>
      </c>
    </row>
    <row r="275" spans="6:36" x14ac:dyDescent="0.3">
      <c r="F275" s="18" t="str">
        <f t="shared" si="12"/>
        <v>الدائرة الأولى جزئي</v>
      </c>
      <c r="G275" s="17">
        <v>87</v>
      </c>
      <c r="H275" s="17" t="s">
        <v>65</v>
      </c>
      <c r="I275" s="17">
        <v>200497</v>
      </c>
      <c r="J275" s="18" t="s">
        <v>458</v>
      </c>
      <c r="K275" s="18" t="s">
        <v>96</v>
      </c>
      <c r="L275" s="17" t="s">
        <v>133</v>
      </c>
      <c r="M275" s="17">
        <v>99</v>
      </c>
      <c r="N275" s="18" t="str">
        <f t="shared" si="13"/>
        <v>محكمة بني سويف الابتدائية</v>
      </c>
      <c r="O275" s="18" t="s">
        <v>370</v>
      </c>
      <c r="P275" s="17" t="s">
        <v>371</v>
      </c>
      <c r="AJ275" s="17" t="s">
        <v>254</v>
      </c>
    </row>
    <row r="276" spans="6:36" x14ac:dyDescent="0.3">
      <c r="F276" s="18" t="str">
        <f t="shared" si="12"/>
        <v>الدائرة الأولى جزئي</v>
      </c>
      <c r="G276" s="17">
        <v>87</v>
      </c>
      <c r="H276" s="17" t="s">
        <v>65</v>
      </c>
      <c r="I276" s="17">
        <v>200498</v>
      </c>
      <c r="J276" s="18" t="s">
        <v>459</v>
      </c>
      <c r="K276" s="18" t="s">
        <v>95</v>
      </c>
      <c r="L276" s="17" t="s">
        <v>133</v>
      </c>
      <c r="M276" s="17">
        <v>100</v>
      </c>
      <c r="N276" s="18" t="str">
        <f t="shared" si="13"/>
        <v>محكمة بني سويف الابتدائية</v>
      </c>
      <c r="O276" s="18" t="s">
        <v>373</v>
      </c>
      <c r="P276" s="17" t="s">
        <v>374</v>
      </c>
      <c r="AJ276" s="17" t="s">
        <v>254</v>
      </c>
    </row>
    <row r="277" spans="6:36" x14ac:dyDescent="0.3">
      <c r="F277" s="18" t="str">
        <f t="shared" si="12"/>
        <v>الدائرة الأولى جزئي</v>
      </c>
      <c r="G277" s="17">
        <v>87</v>
      </c>
      <c r="H277" s="17" t="s">
        <v>65</v>
      </c>
      <c r="I277" s="17">
        <v>200499</v>
      </c>
      <c r="J277" s="18" t="s">
        <v>460</v>
      </c>
      <c r="K277" s="18" t="s">
        <v>97</v>
      </c>
      <c r="L277" s="17" t="s">
        <v>133</v>
      </c>
      <c r="M277" s="17">
        <v>101</v>
      </c>
      <c r="N277" s="18" t="str">
        <f t="shared" si="13"/>
        <v>محكمة بني سويف الابتدائية</v>
      </c>
      <c r="O277" s="18" t="s">
        <v>405</v>
      </c>
      <c r="P277" s="17" t="s">
        <v>406</v>
      </c>
      <c r="AJ277" s="17" t="s">
        <v>254</v>
      </c>
    </row>
    <row r="278" spans="6:36" x14ac:dyDescent="0.3">
      <c r="F278" s="18" t="str">
        <f t="shared" si="12"/>
        <v>الدائرة الثانية جزئي</v>
      </c>
      <c r="G278" s="17">
        <v>88</v>
      </c>
      <c r="H278" s="17" t="s">
        <v>65</v>
      </c>
      <c r="I278" s="17">
        <v>200500</v>
      </c>
      <c r="J278" s="18" t="s">
        <v>461</v>
      </c>
      <c r="K278" s="18" t="s">
        <v>98</v>
      </c>
      <c r="L278" s="17" t="s">
        <v>134</v>
      </c>
      <c r="M278" s="17">
        <v>102</v>
      </c>
      <c r="N278" s="18" t="str">
        <f t="shared" si="13"/>
        <v>محكمة بني سويف الابتدائية</v>
      </c>
      <c r="O278" s="18" t="s">
        <v>392</v>
      </c>
      <c r="P278" s="17" t="s">
        <v>393</v>
      </c>
      <c r="AJ278" s="17" t="s">
        <v>174</v>
      </c>
    </row>
    <row r="279" spans="6:36" x14ac:dyDescent="0.3">
      <c r="F279" s="18" t="str">
        <f t="shared" si="12"/>
        <v>الدائرة الثانية جزئي</v>
      </c>
      <c r="G279" s="17">
        <v>88</v>
      </c>
      <c r="H279" s="17" t="s">
        <v>65</v>
      </c>
      <c r="I279" s="17">
        <v>200503</v>
      </c>
      <c r="J279" s="18" t="s">
        <v>462</v>
      </c>
      <c r="K279" s="18" t="s">
        <v>98</v>
      </c>
      <c r="L279" s="17" t="s">
        <v>135</v>
      </c>
      <c r="M279" s="17">
        <v>103</v>
      </c>
      <c r="N279" s="18" t="str">
        <f t="shared" si="13"/>
        <v>محكمة بني سويف الابتدائية</v>
      </c>
      <c r="O279" s="18" t="s">
        <v>176</v>
      </c>
      <c r="P279" s="17" t="s">
        <v>177</v>
      </c>
      <c r="AJ279" s="17" t="s">
        <v>174</v>
      </c>
    </row>
    <row r="280" spans="6:36" x14ac:dyDescent="0.3">
      <c r="F280" s="18" t="str">
        <f t="shared" si="12"/>
        <v>الدائرة الثانية جزئي</v>
      </c>
      <c r="G280" s="17">
        <v>88</v>
      </c>
      <c r="H280" s="17" t="s">
        <v>65</v>
      </c>
      <c r="I280" s="17">
        <v>200504</v>
      </c>
      <c r="J280" s="18" t="s">
        <v>463</v>
      </c>
      <c r="K280" s="18" t="s">
        <v>98</v>
      </c>
      <c r="L280" s="17" t="s">
        <v>136</v>
      </c>
      <c r="M280" s="17">
        <v>104</v>
      </c>
      <c r="N280" s="18" t="str">
        <f t="shared" si="13"/>
        <v>محكمة بني سويف الابتدائية</v>
      </c>
      <c r="O280" s="18" t="s">
        <v>195</v>
      </c>
      <c r="P280" s="17" t="s">
        <v>196</v>
      </c>
      <c r="AJ280" s="17" t="s">
        <v>174</v>
      </c>
    </row>
    <row r="281" spans="6:36" x14ac:dyDescent="0.3">
      <c r="F281" s="18" t="str">
        <f t="shared" si="12"/>
        <v>الدائرة الثانية جزئي</v>
      </c>
      <c r="G281" s="17">
        <v>88</v>
      </c>
      <c r="H281" s="17" t="s">
        <v>65</v>
      </c>
      <c r="I281" s="17">
        <v>200505</v>
      </c>
      <c r="J281" s="18" t="s">
        <v>464</v>
      </c>
      <c r="K281" s="18" t="s">
        <v>120</v>
      </c>
      <c r="L281" s="17" t="s">
        <v>136</v>
      </c>
      <c r="M281" s="17">
        <v>105</v>
      </c>
      <c r="N281" s="18" t="str">
        <f t="shared" si="13"/>
        <v>محكمة بني سويف الابتدائية</v>
      </c>
      <c r="O281" s="18" t="s">
        <v>193</v>
      </c>
      <c r="P281" s="17" t="s">
        <v>194</v>
      </c>
      <c r="AJ281" s="17" t="s">
        <v>254</v>
      </c>
    </row>
    <row r="282" spans="6:36" x14ac:dyDescent="0.3">
      <c r="F282" s="18" t="str">
        <f t="shared" si="12"/>
        <v>الدائرة الثالثة جزئي</v>
      </c>
      <c r="G282" s="17">
        <v>89</v>
      </c>
      <c r="H282" s="17" t="s">
        <v>65</v>
      </c>
      <c r="I282" s="17">
        <v>200507</v>
      </c>
      <c r="J282" s="18" t="s">
        <v>465</v>
      </c>
      <c r="K282" s="18" t="s">
        <v>98</v>
      </c>
      <c r="L282" s="17" t="s">
        <v>134</v>
      </c>
      <c r="M282" s="17">
        <v>106</v>
      </c>
      <c r="N282" s="18" t="str">
        <f t="shared" si="13"/>
        <v>محكمة بني سويف الابتدائية</v>
      </c>
      <c r="O282" s="18" t="s">
        <v>204</v>
      </c>
      <c r="P282" s="17" t="s">
        <v>205</v>
      </c>
      <c r="AJ282" s="17" t="s">
        <v>174</v>
      </c>
    </row>
    <row r="283" spans="6:36" x14ac:dyDescent="0.3">
      <c r="F283" s="18" t="str">
        <f t="shared" si="12"/>
        <v>الدائرة الثالثة جزئي</v>
      </c>
      <c r="G283" s="17">
        <v>89</v>
      </c>
      <c r="H283" s="17" t="s">
        <v>65</v>
      </c>
      <c r="I283" s="17">
        <v>200509</v>
      </c>
      <c r="J283" s="18" t="s">
        <v>466</v>
      </c>
      <c r="K283" s="18" t="s">
        <v>98</v>
      </c>
      <c r="L283" s="17" t="s">
        <v>135</v>
      </c>
      <c r="M283" s="17">
        <v>107</v>
      </c>
      <c r="N283" s="18" t="str">
        <f t="shared" si="13"/>
        <v>محكمة بني سويف الابتدائية</v>
      </c>
      <c r="O283" s="18" t="s">
        <v>227</v>
      </c>
      <c r="P283" s="17" t="s">
        <v>228</v>
      </c>
      <c r="AJ283" s="17" t="s">
        <v>174</v>
      </c>
    </row>
    <row r="284" spans="6:36" x14ac:dyDescent="0.3">
      <c r="F284" s="18" t="str">
        <f t="shared" si="12"/>
        <v>الدائرة الثالثة جزئي</v>
      </c>
      <c r="G284" s="17">
        <v>89</v>
      </c>
      <c r="H284" s="17" t="s">
        <v>65</v>
      </c>
      <c r="I284" s="17">
        <v>200510</v>
      </c>
      <c r="J284" s="18" t="s">
        <v>467</v>
      </c>
      <c r="K284" s="18" t="s">
        <v>98</v>
      </c>
      <c r="L284" s="17" t="s">
        <v>136</v>
      </c>
      <c r="M284" s="17">
        <v>108</v>
      </c>
      <c r="N284" s="18" t="str">
        <f t="shared" si="13"/>
        <v>محكمة بني سويف الابتدائية</v>
      </c>
      <c r="O284" s="18" t="s">
        <v>349</v>
      </c>
      <c r="P284" s="17" t="s">
        <v>350</v>
      </c>
      <c r="AJ284" s="17" t="s">
        <v>174</v>
      </c>
    </row>
    <row r="285" spans="6:36" x14ac:dyDescent="0.3">
      <c r="F285" s="18" t="str">
        <f t="shared" si="12"/>
        <v>الدائرة الأولى جزئي</v>
      </c>
      <c r="G285" s="17">
        <v>90</v>
      </c>
      <c r="H285" s="17" t="s">
        <v>65</v>
      </c>
      <c r="I285" s="17">
        <v>200511</v>
      </c>
      <c r="J285" s="18" t="s">
        <v>468</v>
      </c>
      <c r="K285" s="18" t="s">
        <v>98</v>
      </c>
      <c r="L285" s="17" t="s">
        <v>131</v>
      </c>
      <c r="M285" s="17">
        <v>109</v>
      </c>
      <c r="N285" s="18" t="str">
        <f t="shared" si="13"/>
        <v>محكمة بني سويف الابتدائية</v>
      </c>
      <c r="O285" s="18" t="s">
        <v>352</v>
      </c>
      <c r="P285" s="17" t="s">
        <v>353</v>
      </c>
      <c r="AJ285" s="17" t="s">
        <v>174</v>
      </c>
    </row>
    <row r="286" spans="6:36" x14ac:dyDescent="0.3">
      <c r="F286" s="18" t="str">
        <f t="shared" si="12"/>
        <v>الدائرة الأولى جزئي</v>
      </c>
      <c r="G286" s="17">
        <v>90</v>
      </c>
      <c r="H286" s="17" t="s">
        <v>65</v>
      </c>
      <c r="I286" s="17">
        <v>200512</v>
      </c>
      <c r="J286" s="18" t="s">
        <v>469</v>
      </c>
      <c r="K286" s="18" t="s">
        <v>120</v>
      </c>
      <c r="L286" s="17" t="s">
        <v>131</v>
      </c>
      <c r="M286" s="17">
        <v>110</v>
      </c>
      <c r="N286" s="18" t="str">
        <f t="shared" si="13"/>
        <v>محكمة بني سويف الابتدائية</v>
      </c>
      <c r="O286" s="18" t="s">
        <v>370</v>
      </c>
      <c r="P286" s="17" t="s">
        <v>371</v>
      </c>
      <c r="AJ286" s="17" t="s">
        <v>254</v>
      </c>
    </row>
    <row r="287" spans="6:36" x14ac:dyDescent="0.3">
      <c r="F287" s="18" t="str">
        <f t="shared" si="12"/>
        <v>الدائرة الأولى جزئي</v>
      </c>
      <c r="G287" s="17">
        <v>90</v>
      </c>
      <c r="H287" s="17" t="s">
        <v>65</v>
      </c>
      <c r="I287" s="17">
        <v>200513</v>
      </c>
      <c r="J287" s="18" t="s">
        <v>470</v>
      </c>
      <c r="K287" s="18" t="s">
        <v>98</v>
      </c>
      <c r="L287" s="17" t="s">
        <v>132</v>
      </c>
      <c r="M287" s="17">
        <v>111</v>
      </c>
      <c r="N287" s="18" t="str">
        <f t="shared" si="13"/>
        <v>محكمة بني سويف الابتدائية</v>
      </c>
      <c r="O287" s="18" t="s">
        <v>373</v>
      </c>
      <c r="P287" s="17" t="s">
        <v>374</v>
      </c>
      <c r="AJ287" s="17" t="s">
        <v>174</v>
      </c>
    </row>
    <row r="288" spans="6:36" x14ac:dyDescent="0.3">
      <c r="F288" s="18" t="str">
        <f t="shared" si="12"/>
        <v>الدائرة الأولى جزئي</v>
      </c>
      <c r="G288" s="17">
        <v>90</v>
      </c>
      <c r="H288" s="17" t="s">
        <v>65</v>
      </c>
      <c r="I288" s="17">
        <v>200514</v>
      </c>
      <c r="J288" s="18" t="s">
        <v>471</v>
      </c>
      <c r="K288" s="18" t="s">
        <v>117</v>
      </c>
      <c r="L288" s="17" t="s">
        <v>132</v>
      </c>
      <c r="M288" s="17">
        <v>112</v>
      </c>
      <c r="N288" s="18" t="str">
        <f t="shared" si="13"/>
        <v>محكمة بني سويف الابتدائية</v>
      </c>
      <c r="O288" s="18" t="s">
        <v>405</v>
      </c>
      <c r="P288" s="17" t="s">
        <v>406</v>
      </c>
      <c r="AJ288" s="17" t="s">
        <v>254</v>
      </c>
    </row>
    <row r="289" spans="6:36" x14ac:dyDescent="0.3">
      <c r="F289" s="18" t="str">
        <f t="shared" si="12"/>
        <v>الدائرة الأولى جزئي</v>
      </c>
      <c r="G289" s="17">
        <v>90</v>
      </c>
      <c r="H289" s="17" t="s">
        <v>65</v>
      </c>
      <c r="I289" s="17">
        <v>200515</v>
      </c>
      <c r="J289" s="18" t="s">
        <v>328</v>
      </c>
      <c r="K289" s="18" t="s">
        <v>83</v>
      </c>
      <c r="L289" s="17" t="s">
        <v>132</v>
      </c>
      <c r="M289" s="17">
        <v>113</v>
      </c>
      <c r="N289" s="18" t="str">
        <f t="shared" si="13"/>
        <v>محكمة بني سويف الابتدائية</v>
      </c>
      <c r="O289" s="18" t="s">
        <v>392</v>
      </c>
      <c r="P289" s="17" t="s">
        <v>393</v>
      </c>
      <c r="AJ289" s="17" t="s">
        <v>254</v>
      </c>
    </row>
    <row r="290" spans="6:36" x14ac:dyDescent="0.3">
      <c r="F290" s="18" t="str">
        <f t="shared" si="12"/>
        <v>الدائرة الأولى جزئي</v>
      </c>
      <c r="G290" s="17">
        <v>90</v>
      </c>
      <c r="H290" s="17" t="s">
        <v>65</v>
      </c>
      <c r="I290" s="17">
        <v>200516</v>
      </c>
      <c r="J290" s="18" t="s">
        <v>472</v>
      </c>
      <c r="K290" s="18" t="s">
        <v>94</v>
      </c>
      <c r="L290" s="17" t="s">
        <v>132</v>
      </c>
      <c r="M290" s="17">
        <v>114</v>
      </c>
      <c r="N290" s="18" t="str">
        <f t="shared" si="13"/>
        <v>محكمة بني سويف الابتدائية</v>
      </c>
      <c r="O290" s="18" t="s">
        <v>179</v>
      </c>
      <c r="P290" s="17" t="s">
        <v>180</v>
      </c>
      <c r="AJ290" s="17" t="s">
        <v>254</v>
      </c>
    </row>
    <row r="291" spans="6:36" x14ac:dyDescent="0.3">
      <c r="F291" s="18" t="str">
        <f t="shared" si="12"/>
        <v>الدائرة الأولى جزئي</v>
      </c>
      <c r="G291" s="17">
        <v>90</v>
      </c>
      <c r="H291" s="17" t="s">
        <v>65</v>
      </c>
      <c r="I291" s="17">
        <v>200517</v>
      </c>
      <c r="J291" s="18" t="s">
        <v>473</v>
      </c>
      <c r="K291" s="18" t="s">
        <v>96</v>
      </c>
      <c r="L291" s="17" t="s">
        <v>132</v>
      </c>
      <c r="M291" s="17">
        <v>115</v>
      </c>
      <c r="N291" s="18" t="str">
        <f t="shared" si="13"/>
        <v>محكمة بني سويف الابتدائية</v>
      </c>
      <c r="O291" s="18" t="s">
        <v>172</v>
      </c>
      <c r="P291" s="17" t="s">
        <v>173</v>
      </c>
      <c r="AJ291" s="17" t="s">
        <v>254</v>
      </c>
    </row>
    <row r="292" spans="6:36" x14ac:dyDescent="0.3">
      <c r="F292" s="18" t="str">
        <f t="shared" si="12"/>
        <v>الدائرة الأولى جزئي</v>
      </c>
      <c r="G292" s="17">
        <v>90</v>
      </c>
      <c r="H292" s="17" t="s">
        <v>65</v>
      </c>
      <c r="I292" s="17">
        <v>200518</v>
      </c>
      <c r="J292" s="18" t="s">
        <v>474</v>
      </c>
      <c r="K292" s="18" t="s">
        <v>95</v>
      </c>
      <c r="L292" s="17" t="s">
        <v>132</v>
      </c>
      <c r="M292" s="17">
        <v>116</v>
      </c>
      <c r="N292" s="18" t="str">
        <f t="shared" si="13"/>
        <v>محكمة بني سويف الابتدائية</v>
      </c>
      <c r="O292" s="18" t="s">
        <v>176</v>
      </c>
      <c r="P292" s="17" t="s">
        <v>177</v>
      </c>
      <c r="AJ292" s="17" t="s">
        <v>254</v>
      </c>
    </row>
    <row r="293" spans="6:36" x14ac:dyDescent="0.3">
      <c r="F293" s="18" t="str">
        <f t="shared" si="12"/>
        <v>الدائرة الأولى جزئي</v>
      </c>
      <c r="G293" s="17">
        <v>90</v>
      </c>
      <c r="H293" s="17" t="s">
        <v>65</v>
      </c>
      <c r="I293" s="17">
        <v>200519</v>
      </c>
      <c r="J293" s="18" t="s">
        <v>475</v>
      </c>
      <c r="K293" s="18" t="s">
        <v>97</v>
      </c>
      <c r="L293" s="17" t="s">
        <v>132</v>
      </c>
      <c r="M293" s="17">
        <v>117</v>
      </c>
      <c r="N293" s="18" t="str">
        <f t="shared" si="13"/>
        <v>محكمة بني سويف الابتدائية</v>
      </c>
      <c r="O293" s="18" t="s">
        <v>195</v>
      </c>
      <c r="P293" s="17" t="s">
        <v>196</v>
      </c>
      <c r="AJ293" s="17" t="s">
        <v>254</v>
      </c>
    </row>
    <row r="294" spans="6:36" x14ac:dyDescent="0.3">
      <c r="F294" s="18" t="str">
        <f t="shared" si="12"/>
        <v>الدائرة الأولى جزئي</v>
      </c>
      <c r="G294" s="17">
        <v>90</v>
      </c>
      <c r="H294" s="17" t="s">
        <v>65</v>
      </c>
      <c r="I294" s="17">
        <v>200521</v>
      </c>
      <c r="J294" s="18" t="s">
        <v>476</v>
      </c>
      <c r="K294" s="18" t="s">
        <v>98</v>
      </c>
      <c r="L294" s="17" t="s">
        <v>133</v>
      </c>
      <c r="M294" s="17">
        <v>118</v>
      </c>
      <c r="N294" s="18" t="str">
        <f t="shared" si="13"/>
        <v>محكمة بني سويف الابتدائية</v>
      </c>
      <c r="O294" s="18" t="s">
        <v>207</v>
      </c>
      <c r="P294" s="17" t="s">
        <v>208</v>
      </c>
      <c r="AJ294" s="17" t="s">
        <v>174</v>
      </c>
    </row>
    <row r="295" spans="6:36" x14ac:dyDescent="0.3">
      <c r="F295" s="18" t="str">
        <f t="shared" si="12"/>
        <v>الدائرة الثانية جزئي</v>
      </c>
      <c r="G295" s="17">
        <v>91</v>
      </c>
      <c r="H295" s="17" t="s">
        <v>65</v>
      </c>
      <c r="I295" s="17">
        <v>200523</v>
      </c>
      <c r="J295" s="18" t="s">
        <v>477</v>
      </c>
      <c r="K295" s="18" t="s">
        <v>98</v>
      </c>
      <c r="L295" s="17" t="s">
        <v>131</v>
      </c>
      <c r="M295" s="17">
        <v>119</v>
      </c>
      <c r="N295" s="18" t="str">
        <f t="shared" si="13"/>
        <v>محكمة بني سويف الابتدائية</v>
      </c>
      <c r="O295" s="18" t="s">
        <v>224</v>
      </c>
      <c r="P295" s="17" t="s">
        <v>225</v>
      </c>
      <c r="AJ295" s="17" t="s">
        <v>174</v>
      </c>
    </row>
    <row r="296" spans="6:36" x14ac:dyDescent="0.3">
      <c r="F296" s="18" t="str">
        <f t="shared" si="12"/>
        <v>الدائرة الثانية جزئي</v>
      </c>
      <c r="G296" s="17">
        <v>91</v>
      </c>
      <c r="H296" s="17" t="s">
        <v>65</v>
      </c>
      <c r="I296" s="17">
        <v>200525</v>
      </c>
      <c r="J296" s="18" t="s">
        <v>478</v>
      </c>
      <c r="K296" s="18" t="s">
        <v>98</v>
      </c>
      <c r="L296" s="17" t="s">
        <v>132</v>
      </c>
      <c r="M296" s="17">
        <v>120</v>
      </c>
      <c r="N296" s="18" t="str">
        <f t="shared" si="13"/>
        <v>محكمة بني سويف الابتدائية</v>
      </c>
      <c r="O296" s="18" t="s">
        <v>349</v>
      </c>
      <c r="P296" s="17" t="s">
        <v>350</v>
      </c>
      <c r="AJ296" s="17" t="s">
        <v>174</v>
      </c>
    </row>
    <row r="297" spans="6:36" x14ac:dyDescent="0.3">
      <c r="F297" s="18" t="str">
        <f t="shared" si="12"/>
        <v>الدائرة الثانية جزئي</v>
      </c>
      <c r="G297" s="17">
        <v>91</v>
      </c>
      <c r="H297" s="17" t="s">
        <v>65</v>
      </c>
      <c r="I297" s="17">
        <v>200526</v>
      </c>
      <c r="J297" s="18" t="s">
        <v>479</v>
      </c>
      <c r="K297" s="18" t="s">
        <v>98</v>
      </c>
      <c r="L297" s="17" t="s">
        <v>133</v>
      </c>
      <c r="M297" s="17">
        <v>121</v>
      </c>
      <c r="N297" s="18" t="str">
        <f t="shared" si="13"/>
        <v>محكمة بني سويف الابتدائية</v>
      </c>
      <c r="O297" s="18" t="s">
        <v>352</v>
      </c>
      <c r="P297" s="17" t="s">
        <v>353</v>
      </c>
      <c r="AJ297" s="17" t="s">
        <v>174</v>
      </c>
    </row>
    <row r="298" spans="6:36" x14ac:dyDescent="0.3">
      <c r="F298" s="18" t="str">
        <f t="shared" si="12"/>
        <v>الدائرة الثالثة جزئي</v>
      </c>
      <c r="G298" s="17">
        <v>92</v>
      </c>
      <c r="H298" s="17" t="s">
        <v>65</v>
      </c>
      <c r="I298" s="17">
        <v>200527</v>
      </c>
      <c r="J298" s="18" t="s">
        <v>480</v>
      </c>
      <c r="K298" s="18" t="s">
        <v>98</v>
      </c>
      <c r="L298" s="17" t="s">
        <v>134</v>
      </c>
      <c r="M298" s="17">
        <v>122</v>
      </c>
      <c r="N298" s="18" t="str">
        <f t="shared" si="13"/>
        <v>محكمة بني سويف الابتدائية</v>
      </c>
      <c r="O298" s="18" t="s">
        <v>370</v>
      </c>
      <c r="P298" s="17" t="s">
        <v>371</v>
      </c>
      <c r="AJ298" s="17" t="s">
        <v>174</v>
      </c>
    </row>
    <row r="299" spans="6:36" x14ac:dyDescent="0.3">
      <c r="F299" s="18" t="str">
        <f t="shared" si="12"/>
        <v>الدائرة الثالثة جزئي</v>
      </c>
      <c r="G299" s="17">
        <v>92</v>
      </c>
      <c r="H299" s="17" t="s">
        <v>65</v>
      </c>
      <c r="I299" s="17">
        <v>200528</v>
      </c>
      <c r="J299" s="18" t="s">
        <v>481</v>
      </c>
      <c r="K299" s="18" t="s">
        <v>101</v>
      </c>
      <c r="L299" s="17" t="s">
        <v>134</v>
      </c>
      <c r="M299" s="17">
        <v>123</v>
      </c>
      <c r="N299" s="18" t="str">
        <f t="shared" si="13"/>
        <v>محكمة بني سويف الابتدائية</v>
      </c>
      <c r="O299" s="18" t="s">
        <v>373</v>
      </c>
      <c r="P299" s="17" t="s">
        <v>374</v>
      </c>
      <c r="AJ299" s="17" t="s">
        <v>174</v>
      </c>
    </row>
    <row r="300" spans="6:36" x14ac:dyDescent="0.3">
      <c r="F300" s="18" t="str">
        <f t="shared" si="12"/>
        <v>الدائرة الثالثة جزئي</v>
      </c>
      <c r="G300" s="17">
        <v>92</v>
      </c>
      <c r="H300" s="17" t="s">
        <v>65</v>
      </c>
      <c r="I300" s="17">
        <v>200531</v>
      </c>
      <c r="J300" s="18" t="s">
        <v>482</v>
      </c>
      <c r="K300" s="18" t="s">
        <v>98</v>
      </c>
      <c r="L300" s="17" t="s">
        <v>135</v>
      </c>
      <c r="M300" s="17">
        <v>124</v>
      </c>
      <c r="N300" s="18" t="str">
        <f t="shared" si="13"/>
        <v>محكمة بني سويف الابتدائية</v>
      </c>
      <c r="O300" s="18" t="s">
        <v>179</v>
      </c>
      <c r="P300" s="17" t="s">
        <v>180</v>
      </c>
      <c r="AJ300" s="17" t="s">
        <v>174</v>
      </c>
    </row>
    <row r="301" spans="6:36" x14ac:dyDescent="0.3">
      <c r="F301" s="18" t="str">
        <f t="shared" si="12"/>
        <v>الدائرة الثالثة جزئي</v>
      </c>
      <c r="G301" s="17">
        <v>92</v>
      </c>
      <c r="H301" s="17" t="s">
        <v>65</v>
      </c>
      <c r="I301" s="17">
        <v>200532</v>
      </c>
      <c r="J301" s="18" t="s">
        <v>483</v>
      </c>
      <c r="K301" s="18" t="s">
        <v>98</v>
      </c>
      <c r="L301" s="17" t="s">
        <v>136</v>
      </c>
      <c r="M301" s="17">
        <v>125</v>
      </c>
      <c r="N301" s="18" t="str">
        <f t="shared" si="13"/>
        <v>محكمة بني سويف الابتدائية</v>
      </c>
      <c r="O301" s="18" t="s">
        <v>172</v>
      </c>
      <c r="P301" s="17" t="s">
        <v>173</v>
      </c>
      <c r="AJ301" s="17" t="s">
        <v>174</v>
      </c>
    </row>
    <row r="302" spans="6:36" x14ac:dyDescent="0.3">
      <c r="F302" s="18" t="str">
        <f t="shared" si="12"/>
        <v>الدائرة الأولى جزئي</v>
      </c>
      <c r="G302" s="17">
        <v>93</v>
      </c>
      <c r="H302" s="17" t="s">
        <v>65</v>
      </c>
      <c r="I302" s="17">
        <v>200533</v>
      </c>
      <c r="J302" s="18" t="s">
        <v>484</v>
      </c>
      <c r="K302" s="18" t="s">
        <v>98</v>
      </c>
      <c r="L302" s="17" t="s">
        <v>131</v>
      </c>
      <c r="M302" s="17">
        <v>126</v>
      </c>
      <c r="N302" s="18" t="str">
        <f t="shared" si="13"/>
        <v>محكمة بني سويف الابتدائية</v>
      </c>
      <c r="O302" s="18" t="s">
        <v>176</v>
      </c>
      <c r="P302" s="17" t="s">
        <v>177</v>
      </c>
      <c r="AJ302" s="17" t="s">
        <v>174</v>
      </c>
    </row>
    <row r="303" spans="6:36" x14ac:dyDescent="0.3">
      <c r="F303" s="18" t="str">
        <f t="shared" si="12"/>
        <v>الدائرة الأولى جزئي</v>
      </c>
      <c r="G303" s="17">
        <v>93</v>
      </c>
      <c r="H303" s="17" t="s">
        <v>65</v>
      </c>
      <c r="I303" s="17">
        <v>200534</v>
      </c>
      <c r="J303" s="18" t="s">
        <v>485</v>
      </c>
      <c r="K303" s="18" t="s">
        <v>117</v>
      </c>
      <c r="L303" s="17" t="s">
        <v>131</v>
      </c>
      <c r="M303" s="17">
        <v>127</v>
      </c>
      <c r="N303" s="18" t="str">
        <f t="shared" si="13"/>
        <v>محكمة بني سويف الابتدائية</v>
      </c>
      <c r="O303" s="18" t="s">
        <v>195</v>
      </c>
      <c r="P303" s="17" t="s">
        <v>196</v>
      </c>
      <c r="AJ303" s="17" t="s">
        <v>254</v>
      </c>
    </row>
    <row r="304" spans="6:36" x14ac:dyDescent="0.3">
      <c r="F304" s="18" t="str">
        <f t="shared" si="12"/>
        <v>الدائرة الأولى جزئي</v>
      </c>
      <c r="G304" s="17">
        <v>93</v>
      </c>
      <c r="H304" s="17" t="s">
        <v>65</v>
      </c>
      <c r="I304" s="17">
        <v>200535</v>
      </c>
      <c r="J304" s="18" t="s">
        <v>486</v>
      </c>
      <c r="K304" s="18" t="s">
        <v>83</v>
      </c>
      <c r="L304" s="17" t="s">
        <v>131</v>
      </c>
      <c r="M304" s="17">
        <v>128</v>
      </c>
      <c r="N304" s="18" t="str">
        <f t="shared" si="13"/>
        <v>محكمة بني سويف الابتدائية</v>
      </c>
      <c r="O304" s="18" t="s">
        <v>193</v>
      </c>
      <c r="P304" s="17" t="s">
        <v>194</v>
      </c>
      <c r="AJ304" s="17" t="s">
        <v>254</v>
      </c>
    </row>
    <row r="305" spans="6:36" x14ac:dyDescent="0.3">
      <c r="F305" s="18" t="str">
        <f t="shared" si="12"/>
        <v>الدائرة الأولى جزئي</v>
      </c>
      <c r="G305" s="17">
        <v>93</v>
      </c>
      <c r="H305" s="17" t="s">
        <v>65</v>
      </c>
      <c r="I305" s="17">
        <v>200536</v>
      </c>
      <c r="J305" s="18" t="s">
        <v>487</v>
      </c>
      <c r="K305" s="18" t="s">
        <v>94</v>
      </c>
      <c r="L305" s="17" t="s">
        <v>131</v>
      </c>
      <c r="M305" s="17">
        <v>129</v>
      </c>
      <c r="N305" s="18" t="str">
        <f t="shared" si="13"/>
        <v>محكمة بني سويف الابتدائية</v>
      </c>
      <c r="O305" s="18" t="s">
        <v>207</v>
      </c>
      <c r="P305" s="17" t="s">
        <v>208</v>
      </c>
      <c r="AJ305" s="17" t="s">
        <v>254</v>
      </c>
    </row>
    <row r="306" spans="6:36" x14ac:dyDescent="0.3">
      <c r="F306" s="18" t="str">
        <f t="shared" si="12"/>
        <v>الدائرة الأولى جزئي</v>
      </c>
      <c r="G306" s="17">
        <v>93</v>
      </c>
      <c r="H306" s="17" t="s">
        <v>65</v>
      </c>
      <c r="I306" s="17">
        <v>200537</v>
      </c>
      <c r="J306" s="18" t="s">
        <v>488</v>
      </c>
      <c r="K306" s="18" t="s">
        <v>96</v>
      </c>
      <c r="L306" s="17" t="s">
        <v>131</v>
      </c>
      <c r="M306" s="17">
        <v>130</v>
      </c>
      <c r="N306" s="18" t="str">
        <f t="shared" si="13"/>
        <v>محكمة بني سويف الابتدائية</v>
      </c>
      <c r="O306" s="18" t="s">
        <v>204</v>
      </c>
      <c r="P306" s="17" t="s">
        <v>205</v>
      </c>
      <c r="AJ306" s="17" t="s">
        <v>254</v>
      </c>
    </row>
    <row r="307" spans="6:36" x14ac:dyDescent="0.3">
      <c r="F307" s="18" t="str">
        <f t="shared" si="12"/>
        <v>الدائرة الأولى جزئي</v>
      </c>
      <c r="G307" s="17">
        <v>93</v>
      </c>
      <c r="H307" s="17" t="s">
        <v>65</v>
      </c>
      <c r="I307" s="17">
        <v>200538</v>
      </c>
      <c r="J307" s="18" t="s">
        <v>489</v>
      </c>
      <c r="K307" s="18" t="s">
        <v>95</v>
      </c>
      <c r="L307" s="17" t="s">
        <v>131</v>
      </c>
      <c r="M307" s="17">
        <v>131</v>
      </c>
      <c r="N307" s="18" t="str">
        <f t="shared" si="13"/>
        <v>محكمة بني سويف الابتدائية</v>
      </c>
      <c r="O307" s="18" t="s">
        <v>224</v>
      </c>
      <c r="P307" s="17" t="s">
        <v>225</v>
      </c>
      <c r="AJ307" s="17" t="s">
        <v>254</v>
      </c>
    </row>
    <row r="308" spans="6:36" x14ac:dyDescent="0.3">
      <c r="F308" s="18" t="str">
        <f t="shared" si="12"/>
        <v>الدائرة الأولى جزئي</v>
      </c>
      <c r="G308" s="17">
        <v>93</v>
      </c>
      <c r="H308" s="17" t="s">
        <v>65</v>
      </c>
      <c r="I308" s="17">
        <v>200539</v>
      </c>
      <c r="J308" s="18" t="s">
        <v>490</v>
      </c>
      <c r="K308" s="18" t="s">
        <v>97</v>
      </c>
      <c r="L308" s="17" t="s">
        <v>131</v>
      </c>
      <c r="M308" s="17">
        <v>132</v>
      </c>
      <c r="N308" s="18" t="str">
        <f t="shared" si="13"/>
        <v>محكمة بني سويف الابتدائية</v>
      </c>
      <c r="O308" s="18" t="s">
        <v>227</v>
      </c>
      <c r="P308" s="17" t="s">
        <v>228</v>
      </c>
      <c r="AJ308" s="17" t="s">
        <v>254</v>
      </c>
    </row>
    <row r="309" spans="6:36" x14ac:dyDescent="0.3">
      <c r="F309" s="18" t="str">
        <f t="shared" si="12"/>
        <v>الدائرة الأولى جزئي</v>
      </c>
      <c r="G309" s="17">
        <v>93</v>
      </c>
      <c r="H309" s="17" t="s">
        <v>65</v>
      </c>
      <c r="I309" s="17">
        <v>200540</v>
      </c>
      <c r="J309" s="18" t="s">
        <v>491</v>
      </c>
      <c r="K309" s="18" t="s">
        <v>98</v>
      </c>
      <c r="L309" s="17" t="s">
        <v>132</v>
      </c>
      <c r="M309" s="17">
        <v>133</v>
      </c>
      <c r="N309" s="18" t="str">
        <f t="shared" si="13"/>
        <v>محكمة بني سويف الابتدائية</v>
      </c>
      <c r="O309" s="18" t="s">
        <v>349</v>
      </c>
      <c r="P309" s="17" t="s">
        <v>350</v>
      </c>
      <c r="AJ309" s="17" t="s">
        <v>174</v>
      </c>
    </row>
    <row r="310" spans="6:36" x14ac:dyDescent="0.3">
      <c r="F310" s="18" t="str">
        <f t="shared" si="12"/>
        <v>الدائرة الأولى جزئي</v>
      </c>
      <c r="G310" s="17">
        <v>93</v>
      </c>
      <c r="H310" s="17" t="s">
        <v>65</v>
      </c>
      <c r="I310" s="17">
        <v>200541</v>
      </c>
      <c r="J310" s="18" t="s">
        <v>492</v>
      </c>
      <c r="K310" s="18" t="s">
        <v>120</v>
      </c>
      <c r="L310" s="17" t="s">
        <v>132</v>
      </c>
      <c r="M310" s="17">
        <v>134</v>
      </c>
      <c r="N310" s="18" t="str">
        <f t="shared" si="13"/>
        <v>محكمة بني سويف الابتدائية</v>
      </c>
      <c r="O310" s="18" t="s">
        <v>352</v>
      </c>
      <c r="P310" s="17" t="s">
        <v>353</v>
      </c>
      <c r="AJ310" s="17" t="s">
        <v>254</v>
      </c>
    </row>
    <row r="311" spans="6:36" x14ac:dyDescent="0.3">
      <c r="F311" s="18" t="str">
        <f t="shared" si="12"/>
        <v>الدائرة الأولى جزئي</v>
      </c>
      <c r="G311" s="17">
        <v>93</v>
      </c>
      <c r="H311" s="17" t="s">
        <v>65</v>
      </c>
      <c r="I311" s="17">
        <v>200542</v>
      </c>
      <c r="J311" s="18" t="s">
        <v>493</v>
      </c>
      <c r="K311" s="18" t="s">
        <v>101</v>
      </c>
      <c r="L311" s="17" t="s">
        <v>132</v>
      </c>
      <c r="M311" s="17">
        <v>135</v>
      </c>
      <c r="N311" s="18" t="str">
        <f t="shared" si="13"/>
        <v>محكمة بني سويف الابتدائية</v>
      </c>
      <c r="O311" s="18" t="s">
        <v>370</v>
      </c>
      <c r="P311" s="17" t="s">
        <v>371</v>
      </c>
      <c r="AJ311" s="17" t="s">
        <v>174</v>
      </c>
    </row>
    <row r="312" spans="6:36" x14ac:dyDescent="0.3">
      <c r="F312" s="18" t="str">
        <f t="shared" si="12"/>
        <v>الدائرة الأولى جزئي</v>
      </c>
      <c r="G312" s="17">
        <v>93</v>
      </c>
      <c r="H312" s="17" t="s">
        <v>65</v>
      </c>
      <c r="I312" s="17">
        <v>200545</v>
      </c>
      <c r="J312" s="18" t="s">
        <v>494</v>
      </c>
      <c r="K312" s="18" t="s">
        <v>98</v>
      </c>
      <c r="L312" s="17" t="s">
        <v>133</v>
      </c>
      <c r="M312" s="17">
        <v>136</v>
      </c>
      <c r="N312" s="18" t="str">
        <f t="shared" si="13"/>
        <v>محكمة بني سويف الابتدائية</v>
      </c>
      <c r="O312" s="18" t="s">
        <v>392</v>
      </c>
      <c r="P312" s="17" t="s">
        <v>393</v>
      </c>
      <c r="AJ312" s="17" t="s">
        <v>174</v>
      </c>
    </row>
    <row r="313" spans="6:36" x14ac:dyDescent="0.3">
      <c r="F313" s="18" t="str">
        <f t="shared" si="12"/>
        <v>الدائرة الثانية جزئي</v>
      </c>
      <c r="G313" s="17">
        <v>94</v>
      </c>
      <c r="H313" s="17" t="s">
        <v>65</v>
      </c>
      <c r="I313" s="17">
        <v>200547</v>
      </c>
      <c r="J313" s="18" t="s">
        <v>495</v>
      </c>
      <c r="K313" s="18" t="s">
        <v>98</v>
      </c>
      <c r="L313" s="17" t="s">
        <v>134</v>
      </c>
      <c r="M313" s="17">
        <v>137</v>
      </c>
      <c r="N313" s="18" t="str">
        <f t="shared" si="13"/>
        <v>محكمة بني سويف الابتدائية</v>
      </c>
      <c r="O313" s="18" t="s">
        <v>172</v>
      </c>
      <c r="P313" s="17" t="s">
        <v>173</v>
      </c>
      <c r="AJ313" s="17" t="s">
        <v>174</v>
      </c>
    </row>
    <row r="314" spans="6:36" x14ac:dyDescent="0.3">
      <c r="F314" s="18" t="str">
        <f t="shared" si="12"/>
        <v>الدائرة الثانية جزئي</v>
      </c>
      <c r="G314" s="17">
        <v>94</v>
      </c>
      <c r="H314" s="17" t="s">
        <v>65</v>
      </c>
      <c r="I314" s="17">
        <v>200549</v>
      </c>
      <c r="J314" s="18" t="s">
        <v>496</v>
      </c>
      <c r="K314" s="18" t="s">
        <v>98</v>
      </c>
      <c r="L314" s="17" t="s">
        <v>135</v>
      </c>
      <c r="M314" s="17">
        <v>138</v>
      </c>
      <c r="N314" s="18" t="str">
        <f t="shared" si="13"/>
        <v>محكمة بني سويف الابتدائية</v>
      </c>
      <c r="O314" s="18" t="s">
        <v>195</v>
      </c>
      <c r="P314" s="17" t="s">
        <v>196</v>
      </c>
      <c r="AJ314" s="17" t="s">
        <v>174</v>
      </c>
    </row>
    <row r="315" spans="6:36" x14ac:dyDescent="0.3">
      <c r="F315" s="18" t="str">
        <f t="shared" si="12"/>
        <v>الدائرة الثانية جزئي</v>
      </c>
      <c r="G315" s="17">
        <v>94</v>
      </c>
      <c r="H315" s="17" t="s">
        <v>65</v>
      </c>
      <c r="I315" s="17">
        <v>200551</v>
      </c>
      <c r="J315" s="18" t="s">
        <v>497</v>
      </c>
      <c r="K315" s="18" t="s">
        <v>98</v>
      </c>
      <c r="L315" s="17" t="s">
        <v>136</v>
      </c>
      <c r="M315" s="17">
        <v>139</v>
      </c>
      <c r="N315" s="18" t="str">
        <f t="shared" si="13"/>
        <v>محكمة بني سويف الابتدائية</v>
      </c>
      <c r="O315" s="18" t="s">
        <v>207</v>
      </c>
      <c r="P315" s="17" t="s">
        <v>208</v>
      </c>
      <c r="AJ315" s="17" t="s">
        <v>174</v>
      </c>
    </row>
    <row r="316" spans="6:36" x14ac:dyDescent="0.3">
      <c r="F316" s="18" t="str">
        <f t="shared" si="12"/>
        <v>الدائرة الأولى جزئي</v>
      </c>
      <c r="G316" s="17">
        <v>73</v>
      </c>
      <c r="H316" s="17" t="s">
        <v>66</v>
      </c>
      <c r="I316" s="17">
        <v>200385</v>
      </c>
      <c r="J316" s="18" t="s">
        <v>498</v>
      </c>
      <c r="K316" s="18" t="s">
        <v>66</v>
      </c>
      <c r="L316" s="17" t="s">
        <v>132</v>
      </c>
      <c r="M316" s="17">
        <v>6</v>
      </c>
      <c r="N316" s="18" t="str">
        <f t="shared" si="13"/>
        <v>محكمة بني سويف الابتدائية</v>
      </c>
      <c r="O316" s="18" t="s">
        <v>373</v>
      </c>
      <c r="P316" s="17" t="s">
        <v>374</v>
      </c>
      <c r="AJ316" s="17" t="s">
        <v>174</v>
      </c>
    </row>
    <row r="317" spans="6:36" x14ac:dyDescent="0.3">
      <c r="F317" s="18" t="str">
        <f t="shared" si="12"/>
        <v>الدائرة الأولى جزئي</v>
      </c>
      <c r="G317" s="17">
        <v>73</v>
      </c>
      <c r="H317" s="17" t="s">
        <v>66</v>
      </c>
      <c r="I317" s="17">
        <v>200387</v>
      </c>
      <c r="J317" s="18" t="s">
        <v>499</v>
      </c>
      <c r="K317" s="18" t="s">
        <v>66</v>
      </c>
      <c r="L317" s="17" t="s">
        <v>133</v>
      </c>
      <c r="M317" s="17">
        <v>27</v>
      </c>
      <c r="N317" s="18" t="str">
        <f t="shared" si="13"/>
        <v>محكمة بني سويف الابتدائية</v>
      </c>
      <c r="O317" s="18" t="s">
        <v>373</v>
      </c>
      <c r="P317" s="17" t="s">
        <v>374</v>
      </c>
      <c r="AJ317" s="17" t="s">
        <v>174</v>
      </c>
    </row>
    <row r="318" spans="6:36" x14ac:dyDescent="0.3">
      <c r="F318" s="18" t="str">
        <f t="shared" si="12"/>
        <v>الدائرة الثانية جزئي</v>
      </c>
      <c r="G318" s="17">
        <v>74</v>
      </c>
      <c r="H318" s="17" t="s">
        <v>66</v>
      </c>
      <c r="I318" s="17">
        <v>200391</v>
      </c>
      <c r="J318" s="18" t="s">
        <v>500</v>
      </c>
      <c r="K318" s="18" t="s">
        <v>66</v>
      </c>
      <c r="L318" s="17" t="s">
        <v>132</v>
      </c>
      <c r="M318" s="17">
        <v>48</v>
      </c>
      <c r="N318" s="18" t="str">
        <f t="shared" si="13"/>
        <v>محكمة بني سويف الابتدائية</v>
      </c>
      <c r="O318" s="18" t="s">
        <v>373</v>
      </c>
      <c r="P318" s="17" t="s">
        <v>374</v>
      </c>
      <c r="AJ318" s="17" t="s">
        <v>174</v>
      </c>
    </row>
    <row r="319" spans="6:36" x14ac:dyDescent="0.3">
      <c r="F319" s="18" t="str">
        <f t="shared" si="12"/>
        <v>الدائرة الثالثة جزئي</v>
      </c>
      <c r="G319" s="17">
        <v>75</v>
      </c>
      <c r="H319" s="17" t="s">
        <v>66</v>
      </c>
      <c r="I319" s="17">
        <v>200400</v>
      </c>
      <c r="J319" s="18" t="s">
        <v>501</v>
      </c>
      <c r="K319" s="18" t="s">
        <v>66</v>
      </c>
      <c r="L319" s="17" t="s">
        <v>135</v>
      </c>
      <c r="M319" s="17">
        <v>69</v>
      </c>
      <c r="N319" s="18" t="str">
        <f t="shared" si="13"/>
        <v>محكمة بني سويف الابتدائية</v>
      </c>
      <c r="O319" s="18" t="s">
        <v>370</v>
      </c>
      <c r="P319" s="17" t="s">
        <v>371</v>
      </c>
      <c r="AJ319" s="17" t="s">
        <v>174</v>
      </c>
    </row>
    <row r="320" spans="6:36" x14ac:dyDescent="0.3">
      <c r="F320" s="18" t="str">
        <f t="shared" si="12"/>
        <v>الدائرة الثالثة جزئي</v>
      </c>
      <c r="G320" s="17">
        <v>75</v>
      </c>
      <c r="H320" s="17" t="s">
        <v>66</v>
      </c>
      <c r="I320" s="17">
        <v>200402</v>
      </c>
      <c r="J320" s="18" t="s">
        <v>502</v>
      </c>
      <c r="K320" s="18" t="s">
        <v>66</v>
      </c>
      <c r="L320" s="17" t="s">
        <v>136</v>
      </c>
      <c r="M320" s="17">
        <v>90</v>
      </c>
      <c r="N320" s="18" t="str">
        <f t="shared" si="13"/>
        <v>محكمة بني سويف الابتدائية</v>
      </c>
      <c r="O320" s="18" t="s">
        <v>370</v>
      </c>
      <c r="P320" s="17" t="s">
        <v>371</v>
      </c>
      <c r="AJ320" s="17" t="s">
        <v>174</v>
      </c>
    </row>
    <row r="321" spans="6:36" x14ac:dyDescent="0.3">
      <c r="F321" s="18" t="str">
        <f t="shared" si="12"/>
        <v>الدائرة الرابعة جزئي</v>
      </c>
      <c r="G321" s="17">
        <v>76</v>
      </c>
      <c r="H321" s="17" t="s">
        <v>66</v>
      </c>
      <c r="I321" s="17">
        <v>200403</v>
      </c>
      <c r="J321" s="18" t="s">
        <v>503</v>
      </c>
      <c r="K321" s="18" t="s">
        <v>66</v>
      </c>
      <c r="L321" s="17" t="s">
        <v>134</v>
      </c>
      <c r="M321" s="17">
        <v>111</v>
      </c>
      <c r="N321" s="18" t="str">
        <f t="shared" si="13"/>
        <v>محكمة بني سويف الابتدائية</v>
      </c>
      <c r="O321" s="18" t="s">
        <v>373</v>
      </c>
      <c r="P321" s="17" t="s">
        <v>374</v>
      </c>
      <c r="AJ321" s="17" t="s">
        <v>174</v>
      </c>
    </row>
    <row r="322" spans="6:36" x14ac:dyDescent="0.3">
      <c r="F322" s="18" t="str">
        <f t="shared" si="12"/>
        <v>الدائرة الرابعة جزئي</v>
      </c>
      <c r="G322" s="17">
        <v>76</v>
      </c>
      <c r="H322" s="17" t="s">
        <v>66</v>
      </c>
      <c r="I322" s="17">
        <v>200405</v>
      </c>
      <c r="J322" s="18" t="s">
        <v>504</v>
      </c>
      <c r="K322" s="18" t="s">
        <v>66</v>
      </c>
      <c r="L322" s="17" t="s">
        <v>134</v>
      </c>
      <c r="M322" s="17">
        <v>132</v>
      </c>
      <c r="N322" s="18" t="str">
        <f t="shared" si="13"/>
        <v>محكمة بني سويف الابتدائية</v>
      </c>
      <c r="O322" s="18" t="s">
        <v>373</v>
      </c>
      <c r="P322" s="17" t="s">
        <v>374</v>
      </c>
      <c r="AJ322" s="17" t="s">
        <v>174</v>
      </c>
    </row>
    <row r="323" spans="6:36" x14ac:dyDescent="0.3">
      <c r="F323" s="18" t="str">
        <f t="shared" si="12"/>
        <v>الدائرة الرابعة جزئي</v>
      </c>
      <c r="G323" s="17">
        <v>76</v>
      </c>
      <c r="H323" s="17" t="s">
        <v>66</v>
      </c>
      <c r="I323" s="17">
        <v>200407</v>
      </c>
      <c r="J323" s="18" t="s">
        <v>505</v>
      </c>
      <c r="K323" s="18" t="s">
        <v>66</v>
      </c>
      <c r="L323" s="17" t="s">
        <v>136</v>
      </c>
      <c r="M323" s="17">
        <v>153</v>
      </c>
      <c r="N323" s="18" t="str">
        <f t="shared" si="13"/>
        <v>محكمة بني سويف الابتدائية</v>
      </c>
      <c r="O323" s="18" t="s">
        <v>373</v>
      </c>
      <c r="P323" s="17" t="s">
        <v>374</v>
      </c>
      <c r="AJ323" s="17" t="s">
        <v>174</v>
      </c>
    </row>
    <row r="324" spans="6:36" x14ac:dyDescent="0.3">
      <c r="F324" s="18" t="str">
        <f t="shared" si="12"/>
        <v>الدائرة الأولى جزئي</v>
      </c>
      <c r="G324" s="17">
        <v>77</v>
      </c>
      <c r="H324" s="17" t="s">
        <v>66</v>
      </c>
      <c r="I324" s="17">
        <v>200409</v>
      </c>
      <c r="J324" s="18" t="s">
        <v>506</v>
      </c>
      <c r="K324" s="18" t="s">
        <v>66</v>
      </c>
      <c r="L324" s="17" t="s">
        <v>132</v>
      </c>
      <c r="M324" s="17">
        <v>174</v>
      </c>
      <c r="N324" s="18" t="str">
        <f t="shared" si="13"/>
        <v>محكمة بني سويف الابتدائية</v>
      </c>
      <c r="O324" s="18" t="s">
        <v>405</v>
      </c>
      <c r="P324" s="17" t="s">
        <v>406</v>
      </c>
      <c r="AJ324" s="17" t="s">
        <v>174</v>
      </c>
    </row>
    <row r="325" spans="6:36" x14ac:dyDescent="0.3">
      <c r="F325" s="18" t="str">
        <f t="shared" ref="F325:F388" si="14">IFERROR(VLOOKUP(G325, $A$5:$B$53, 2, FALSE), "")</f>
        <v>الدائرة الأولى جزئي</v>
      </c>
      <c r="G325" s="17">
        <v>77</v>
      </c>
      <c r="H325" s="17" t="s">
        <v>66</v>
      </c>
      <c r="I325" s="17">
        <v>200411</v>
      </c>
      <c r="J325" s="18" t="s">
        <v>507</v>
      </c>
      <c r="K325" s="18" t="s">
        <v>66</v>
      </c>
      <c r="L325" s="17" t="s">
        <v>132</v>
      </c>
      <c r="M325" s="17">
        <v>195</v>
      </c>
      <c r="N325" s="18" t="str">
        <f t="shared" ref="N325:N357" si="15">IFERROR(VLOOKUP(G325, $A$5:$C$53, 3, FALSE), "")</f>
        <v>محكمة بني سويف الابتدائية</v>
      </c>
      <c r="O325" s="18" t="s">
        <v>179</v>
      </c>
      <c r="P325" s="17" t="s">
        <v>180</v>
      </c>
      <c r="AJ325" s="17" t="s">
        <v>174</v>
      </c>
    </row>
    <row r="326" spans="6:36" x14ac:dyDescent="0.3">
      <c r="F326" s="18" t="str">
        <f t="shared" si="14"/>
        <v>الدائرة الأولى جزئي</v>
      </c>
      <c r="G326" s="17">
        <v>77</v>
      </c>
      <c r="H326" s="17" t="s">
        <v>66</v>
      </c>
      <c r="I326" s="17">
        <v>200412</v>
      </c>
      <c r="J326" s="18" t="s">
        <v>508</v>
      </c>
      <c r="K326" s="18" t="s">
        <v>66</v>
      </c>
      <c r="L326" s="17" t="s">
        <v>133</v>
      </c>
      <c r="M326" s="17">
        <v>216</v>
      </c>
      <c r="N326" s="18" t="str">
        <f t="shared" si="15"/>
        <v>محكمة بني سويف الابتدائية</v>
      </c>
      <c r="O326" s="18" t="s">
        <v>172</v>
      </c>
      <c r="P326" s="17" t="s">
        <v>173</v>
      </c>
      <c r="AJ326" s="17" t="s">
        <v>174</v>
      </c>
    </row>
    <row r="327" spans="6:36" x14ac:dyDescent="0.3">
      <c r="F327" s="18" t="str">
        <f t="shared" si="14"/>
        <v>الدائرة الثانية جزئي</v>
      </c>
      <c r="G327" s="17">
        <v>78</v>
      </c>
      <c r="H327" s="17" t="s">
        <v>66</v>
      </c>
      <c r="I327" s="17">
        <v>200416</v>
      </c>
      <c r="J327" s="18" t="s">
        <v>509</v>
      </c>
      <c r="K327" s="18" t="s">
        <v>66</v>
      </c>
      <c r="L327" s="17" t="s">
        <v>135</v>
      </c>
      <c r="M327" s="17">
        <v>237</v>
      </c>
      <c r="N327" s="18" t="str">
        <f t="shared" si="15"/>
        <v>محكمة بني سويف الابتدائية</v>
      </c>
      <c r="O327" s="18" t="s">
        <v>207</v>
      </c>
      <c r="P327" s="17" t="s">
        <v>208</v>
      </c>
      <c r="AJ327" s="17" t="s">
        <v>174</v>
      </c>
    </row>
    <row r="328" spans="6:36" x14ac:dyDescent="0.3">
      <c r="F328" s="18" t="str">
        <f t="shared" si="14"/>
        <v>الدائرة الثالثة جزئي</v>
      </c>
      <c r="G328" s="17">
        <v>79</v>
      </c>
      <c r="H328" s="17" t="s">
        <v>66</v>
      </c>
      <c r="I328" s="17">
        <v>200426</v>
      </c>
      <c r="J328" s="18" t="s">
        <v>510</v>
      </c>
      <c r="K328" s="18" t="s">
        <v>66</v>
      </c>
      <c r="L328" s="17" t="s">
        <v>135</v>
      </c>
      <c r="M328" s="17">
        <v>258</v>
      </c>
      <c r="N328" s="18" t="str">
        <f t="shared" si="15"/>
        <v>محكمة بني سويف الابتدائية</v>
      </c>
      <c r="O328" s="18" t="s">
        <v>179</v>
      </c>
      <c r="P328" s="17" t="s">
        <v>180</v>
      </c>
      <c r="AJ328" s="17" t="s">
        <v>174</v>
      </c>
    </row>
    <row r="329" spans="6:36" x14ac:dyDescent="0.3">
      <c r="F329" s="18" t="str">
        <f t="shared" si="14"/>
        <v>الدائرة الأولى جزئي</v>
      </c>
      <c r="G329" s="17">
        <v>80</v>
      </c>
      <c r="H329" s="17" t="s">
        <v>66</v>
      </c>
      <c r="I329" s="17">
        <v>200431</v>
      </c>
      <c r="J329" s="18" t="s">
        <v>511</v>
      </c>
      <c r="K329" s="18" t="s">
        <v>66</v>
      </c>
      <c r="L329" s="17" t="s">
        <v>132</v>
      </c>
      <c r="M329" s="17">
        <v>279</v>
      </c>
      <c r="N329" s="18" t="str">
        <f t="shared" si="15"/>
        <v>محكمة بني سويف الابتدائية</v>
      </c>
      <c r="O329" s="18" t="s">
        <v>207</v>
      </c>
      <c r="P329" s="17" t="s">
        <v>208</v>
      </c>
      <c r="AJ329" s="17" t="s">
        <v>174</v>
      </c>
    </row>
    <row r="330" spans="6:36" x14ac:dyDescent="0.3">
      <c r="F330" s="18" t="str">
        <f t="shared" si="14"/>
        <v>الدائرة الأولى جزئي</v>
      </c>
      <c r="G330" s="17">
        <v>80</v>
      </c>
      <c r="H330" s="17" t="s">
        <v>66</v>
      </c>
      <c r="I330" s="17">
        <v>200433</v>
      </c>
      <c r="J330" s="18" t="s">
        <v>512</v>
      </c>
      <c r="K330" s="18" t="s">
        <v>66</v>
      </c>
      <c r="L330" s="17" t="s">
        <v>133</v>
      </c>
      <c r="M330" s="17">
        <v>300</v>
      </c>
      <c r="N330" s="18" t="str">
        <f t="shared" si="15"/>
        <v>محكمة بني سويف الابتدائية</v>
      </c>
      <c r="O330" s="18" t="s">
        <v>224</v>
      </c>
      <c r="P330" s="17" t="s">
        <v>225</v>
      </c>
      <c r="AJ330" s="17" t="s">
        <v>174</v>
      </c>
    </row>
    <row r="331" spans="6:36" x14ac:dyDescent="0.3">
      <c r="F331" s="18" t="str">
        <f t="shared" si="14"/>
        <v>الدائرة الثانية جزئي</v>
      </c>
      <c r="G331" s="17">
        <v>81</v>
      </c>
      <c r="H331" s="17" t="s">
        <v>66</v>
      </c>
      <c r="I331" s="17">
        <v>200437</v>
      </c>
      <c r="J331" s="18" t="s">
        <v>513</v>
      </c>
      <c r="K331" s="18" t="s">
        <v>66</v>
      </c>
      <c r="L331" s="17" t="s">
        <v>135</v>
      </c>
      <c r="M331" s="17">
        <v>321</v>
      </c>
      <c r="N331" s="18" t="str">
        <f t="shared" si="15"/>
        <v>محكمة بني سويف الابتدائية</v>
      </c>
      <c r="O331" s="18" t="s">
        <v>370</v>
      </c>
      <c r="P331" s="17" t="s">
        <v>371</v>
      </c>
      <c r="AJ331" s="17" t="s">
        <v>174</v>
      </c>
    </row>
    <row r="332" spans="6:36" x14ac:dyDescent="0.3">
      <c r="F332" s="18" t="str">
        <f t="shared" si="14"/>
        <v>الدائرة الثانية جزئي</v>
      </c>
      <c r="G332" s="17">
        <v>81</v>
      </c>
      <c r="H332" s="17" t="s">
        <v>66</v>
      </c>
      <c r="I332" s="17">
        <v>200438</v>
      </c>
      <c r="J332" s="18" t="s">
        <v>514</v>
      </c>
      <c r="K332" s="18" t="s">
        <v>66</v>
      </c>
      <c r="L332" s="17" t="s">
        <v>135</v>
      </c>
      <c r="M332" s="17">
        <v>342</v>
      </c>
      <c r="N332" s="18" t="str">
        <f t="shared" si="15"/>
        <v>محكمة بني سويف الابتدائية</v>
      </c>
      <c r="O332" s="18" t="s">
        <v>373</v>
      </c>
      <c r="P332" s="17" t="s">
        <v>374</v>
      </c>
      <c r="AJ332" s="17" t="s">
        <v>174</v>
      </c>
    </row>
    <row r="333" spans="6:36" x14ac:dyDescent="0.3">
      <c r="F333" s="18" t="str">
        <f t="shared" si="14"/>
        <v>الدائرة الثانية جزئي</v>
      </c>
      <c r="G333" s="17">
        <v>81</v>
      </c>
      <c r="H333" s="17" t="s">
        <v>66</v>
      </c>
      <c r="I333" s="17">
        <v>200440</v>
      </c>
      <c r="J333" s="18" t="s">
        <v>515</v>
      </c>
      <c r="K333" s="18" t="s">
        <v>66</v>
      </c>
      <c r="L333" s="17" t="s">
        <v>135</v>
      </c>
      <c r="M333" s="17">
        <v>363</v>
      </c>
      <c r="N333" s="18" t="str">
        <f t="shared" si="15"/>
        <v>محكمة بني سويف الابتدائية</v>
      </c>
      <c r="O333" s="18" t="s">
        <v>392</v>
      </c>
      <c r="P333" s="17" t="s">
        <v>393</v>
      </c>
      <c r="AJ333" s="17" t="s">
        <v>174</v>
      </c>
    </row>
    <row r="334" spans="6:36" x14ac:dyDescent="0.3">
      <c r="F334" s="18" t="str">
        <f t="shared" si="14"/>
        <v>الدائرة الثالثة جزئي</v>
      </c>
      <c r="G334" s="17">
        <v>82</v>
      </c>
      <c r="H334" s="17" t="s">
        <v>66</v>
      </c>
      <c r="I334" s="17">
        <v>200442</v>
      </c>
      <c r="J334" s="18" t="s">
        <v>516</v>
      </c>
      <c r="K334" s="18" t="s">
        <v>66</v>
      </c>
      <c r="L334" s="17" t="s">
        <v>134</v>
      </c>
      <c r="M334" s="17">
        <v>384</v>
      </c>
      <c r="N334" s="18" t="str">
        <f t="shared" si="15"/>
        <v>محكمة بني سويف الابتدائية</v>
      </c>
      <c r="O334" s="18" t="s">
        <v>172</v>
      </c>
      <c r="P334" s="17" t="s">
        <v>173</v>
      </c>
      <c r="AJ334" s="17" t="s">
        <v>174</v>
      </c>
    </row>
    <row r="335" spans="6:36" x14ac:dyDescent="0.3">
      <c r="F335" s="18" t="str">
        <f t="shared" si="14"/>
        <v>الدائرة الأولى جزئي</v>
      </c>
      <c r="G335" s="17">
        <v>83</v>
      </c>
      <c r="H335" s="17" t="s">
        <v>66</v>
      </c>
      <c r="I335" s="17">
        <v>200454</v>
      </c>
      <c r="J335" s="18" t="s">
        <v>517</v>
      </c>
      <c r="K335" s="18" t="s">
        <v>66</v>
      </c>
      <c r="L335" s="17" t="s">
        <v>132</v>
      </c>
      <c r="M335" s="17">
        <v>405</v>
      </c>
      <c r="N335" s="18" t="str">
        <f t="shared" si="15"/>
        <v>محكمة بني سويف الابتدائية</v>
      </c>
      <c r="O335" s="18" t="s">
        <v>405</v>
      </c>
      <c r="P335" s="17" t="s">
        <v>406</v>
      </c>
      <c r="AJ335" s="17" t="s">
        <v>174</v>
      </c>
    </row>
    <row r="336" spans="6:36" x14ac:dyDescent="0.3">
      <c r="F336" s="18" t="str">
        <f t="shared" si="14"/>
        <v>الدائرة الأولى جزئي</v>
      </c>
      <c r="G336" s="17">
        <v>83</v>
      </c>
      <c r="H336" s="17" t="s">
        <v>66</v>
      </c>
      <c r="I336" s="17">
        <v>200456</v>
      </c>
      <c r="J336" s="18" t="s">
        <v>518</v>
      </c>
      <c r="K336" s="18" t="s">
        <v>66</v>
      </c>
      <c r="L336" s="17" t="s">
        <v>132</v>
      </c>
      <c r="M336" s="17">
        <v>426</v>
      </c>
      <c r="N336" s="18" t="str">
        <f t="shared" si="15"/>
        <v>محكمة بني سويف الابتدائية</v>
      </c>
      <c r="O336" s="18" t="s">
        <v>179</v>
      </c>
      <c r="P336" s="17" t="s">
        <v>180</v>
      </c>
      <c r="AJ336" s="17" t="s">
        <v>174</v>
      </c>
    </row>
    <row r="337" spans="6:36" x14ac:dyDescent="0.3">
      <c r="F337" s="18" t="str">
        <f t="shared" si="14"/>
        <v>الدائرة الثانية جزئي</v>
      </c>
      <c r="G337" s="17">
        <v>84</v>
      </c>
      <c r="H337" s="17" t="s">
        <v>66</v>
      </c>
      <c r="I337" s="17">
        <v>200459</v>
      </c>
      <c r="J337" s="18" t="s">
        <v>519</v>
      </c>
      <c r="K337" s="18" t="s">
        <v>66</v>
      </c>
      <c r="L337" s="17" t="s">
        <v>134</v>
      </c>
      <c r="M337" s="17">
        <v>447</v>
      </c>
      <c r="N337" s="18" t="str">
        <f t="shared" si="15"/>
        <v>محكمة بني سويف الابتدائية</v>
      </c>
      <c r="O337" s="18" t="s">
        <v>195</v>
      </c>
      <c r="P337" s="17" t="s">
        <v>196</v>
      </c>
      <c r="AJ337" s="17" t="s">
        <v>174</v>
      </c>
    </row>
    <row r="338" spans="6:36" x14ac:dyDescent="0.3">
      <c r="F338" s="18" t="str">
        <f t="shared" si="14"/>
        <v>الدائرة الثانية جزئي</v>
      </c>
      <c r="G338" s="17">
        <v>84</v>
      </c>
      <c r="H338" s="17" t="s">
        <v>66</v>
      </c>
      <c r="I338" s="17">
        <v>200460</v>
      </c>
      <c r="J338" s="18" t="s">
        <v>520</v>
      </c>
      <c r="K338" s="18" t="s">
        <v>66</v>
      </c>
      <c r="L338" s="17" t="s">
        <v>134</v>
      </c>
      <c r="M338" s="17">
        <v>468</v>
      </c>
      <c r="N338" s="18" t="str">
        <f t="shared" si="15"/>
        <v>محكمة بني سويف الابتدائية</v>
      </c>
      <c r="O338" s="18" t="s">
        <v>193</v>
      </c>
      <c r="P338" s="17" t="s">
        <v>194</v>
      </c>
      <c r="AJ338" s="17" t="s">
        <v>174</v>
      </c>
    </row>
    <row r="339" spans="6:36" x14ac:dyDescent="0.3">
      <c r="F339" s="18" t="str">
        <f t="shared" si="14"/>
        <v>الدائرة الأولى جزئي</v>
      </c>
      <c r="G339" s="17">
        <v>85</v>
      </c>
      <c r="H339" s="17" t="s">
        <v>66</v>
      </c>
      <c r="I339" s="17">
        <v>200480</v>
      </c>
      <c r="J339" s="18" t="s">
        <v>521</v>
      </c>
      <c r="K339" s="18" t="s">
        <v>66</v>
      </c>
      <c r="L339" s="17" t="s">
        <v>133</v>
      </c>
      <c r="M339" s="17">
        <v>489</v>
      </c>
      <c r="N339" s="18" t="str">
        <f t="shared" si="15"/>
        <v>محكمة بني سويف الابتدائية</v>
      </c>
      <c r="O339" s="18" t="s">
        <v>349</v>
      </c>
      <c r="P339" s="17" t="s">
        <v>350</v>
      </c>
      <c r="AJ339" s="17" t="s">
        <v>174</v>
      </c>
    </row>
    <row r="340" spans="6:36" x14ac:dyDescent="0.3">
      <c r="F340" s="18" t="str">
        <f t="shared" si="14"/>
        <v>الدائرة الأولى جزئي</v>
      </c>
      <c r="G340" s="17">
        <v>85</v>
      </c>
      <c r="H340" s="17" t="s">
        <v>66</v>
      </c>
      <c r="I340" s="17">
        <v>200482</v>
      </c>
      <c r="J340" s="18" t="s">
        <v>522</v>
      </c>
      <c r="K340" s="18" t="s">
        <v>66</v>
      </c>
      <c r="L340" s="17" t="s">
        <v>133</v>
      </c>
      <c r="M340" s="17">
        <v>510</v>
      </c>
      <c r="N340" s="18" t="str">
        <f t="shared" si="15"/>
        <v>محكمة بني سويف الابتدائية</v>
      </c>
      <c r="O340" s="18" t="s">
        <v>370</v>
      </c>
      <c r="P340" s="17" t="s">
        <v>371</v>
      </c>
      <c r="AJ340" s="17" t="s">
        <v>174</v>
      </c>
    </row>
    <row r="341" spans="6:36" x14ac:dyDescent="0.3">
      <c r="F341" s="18" t="str">
        <f t="shared" si="14"/>
        <v>الدائرة الثانية جزئي</v>
      </c>
      <c r="G341" s="17">
        <v>86</v>
      </c>
      <c r="H341" s="17" t="s">
        <v>66</v>
      </c>
      <c r="I341" s="17">
        <v>200486</v>
      </c>
      <c r="J341" s="18" t="s">
        <v>523</v>
      </c>
      <c r="K341" s="18" t="s">
        <v>66</v>
      </c>
      <c r="L341" s="17" t="s">
        <v>136</v>
      </c>
      <c r="M341" s="17">
        <v>531</v>
      </c>
      <c r="N341" s="18" t="str">
        <f t="shared" si="15"/>
        <v>محكمة بني سويف الابتدائية</v>
      </c>
      <c r="O341" s="18" t="s">
        <v>179</v>
      </c>
      <c r="P341" s="17" t="s">
        <v>180</v>
      </c>
      <c r="AJ341" s="17" t="s">
        <v>174</v>
      </c>
    </row>
    <row r="342" spans="6:36" x14ac:dyDescent="0.3">
      <c r="F342" s="18" t="str">
        <f t="shared" si="14"/>
        <v>الدائرة الثانية جزئي</v>
      </c>
      <c r="G342" s="17">
        <v>86</v>
      </c>
      <c r="H342" s="17" t="s">
        <v>66</v>
      </c>
      <c r="I342" s="17">
        <v>200487</v>
      </c>
      <c r="J342" s="18" t="s">
        <v>524</v>
      </c>
      <c r="K342" s="18" t="s">
        <v>66</v>
      </c>
      <c r="L342" s="17" t="s">
        <v>136</v>
      </c>
      <c r="M342" s="17">
        <v>552</v>
      </c>
      <c r="N342" s="18" t="str">
        <f t="shared" si="15"/>
        <v>محكمة بني سويف الابتدائية</v>
      </c>
      <c r="O342" s="18" t="s">
        <v>172</v>
      </c>
      <c r="P342" s="17" t="s">
        <v>173</v>
      </c>
      <c r="AJ342" s="17" t="s">
        <v>174</v>
      </c>
    </row>
    <row r="343" spans="6:36" x14ac:dyDescent="0.3">
      <c r="F343" s="18" t="str">
        <f t="shared" si="14"/>
        <v>الدائرة الأولى جزئي</v>
      </c>
      <c r="G343" s="17">
        <v>87</v>
      </c>
      <c r="H343" s="17" t="s">
        <v>66</v>
      </c>
      <c r="I343" s="17">
        <v>200491</v>
      </c>
      <c r="J343" s="18" t="s">
        <v>525</v>
      </c>
      <c r="K343" s="18" t="s">
        <v>66</v>
      </c>
      <c r="L343" s="17" t="s">
        <v>132</v>
      </c>
      <c r="M343" s="17">
        <v>573</v>
      </c>
      <c r="N343" s="18" t="str">
        <f t="shared" si="15"/>
        <v>محكمة بني سويف الابتدائية</v>
      </c>
      <c r="O343" s="18" t="s">
        <v>207</v>
      </c>
      <c r="P343" s="17" t="s">
        <v>208</v>
      </c>
      <c r="AJ343" s="17" t="s">
        <v>174</v>
      </c>
    </row>
    <row r="344" spans="6:36" x14ac:dyDescent="0.3">
      <c r="F344" s="18" t="str">
        <f t="shared" si="14"/>
        <v>الدائرة الثانية جزئي</v>
      </c>
      <c r="G344" s="17">
        <v>88</v>
      </c>
      <c r="H344" s="17" t="s">
        <v>66</v>
      </c>
      <c r="I344" s="17">
        <v>200501</v>
      </c>
      <c r="J344" s="18" t="s">
        <v>526</v>
      </c>
      <c r="K344" s="18" t="s">
        <v>66</v>
      </c>
      <c r="L344" s="17" t="s">
        <v>135</v>
      </c>
      <c r="M344" s="17">
        <v>594</v>
      </c>
      <c r="N344" s="18" t="str">
        <f t="shared" si="15"/>
        <v>محكمة بني سويف الابتدائية</v>
      </c>
      <c r="O344" s="18" t="s">
        <v>179</v>
      </c>
      <c r="P344" s="17" t="s">
        <v>180</v>
      </c>
      <c r="AJ344" s="17" t="s">
        <v>174</v>
      </c>
    </row>
    <row r="345" spans="6:36" x14ac:dyDescent="0.3">
      <c r="F345" s="18" t="str">
        <f t="shared" si="14"/>
        <v>الدائرة الثانية جزئي</v>
      </c>
      <c r="G345" s="17">
        <v>88</v>
      </c>
      <c r="H345" s="17" t="s">
        <v>66</v>
      </c>
      <c r="I345" s="17">
        <v>200502</v>
      </c>
      <c r="J345" s="18" t="s">
        <v>527</v>
      </c>
      <c r="K345" s="18" t="s">
        <v>66</v>
      </c>
      <c r="L345" s="17" t="s">
        <v>135</v>
      </c>
      <c r="M345" s="17">
        <v>615</v>
      </c>
      <c r="N345" s="18" t="str">
        <f t="shared" si="15"/>
        <v>محكمة بني سويف الابتدائية</v>
      </c>
      <c r="O345" s="18" t="s">
        <v>172</v>
      </c>
      <c r="P345" s="17" t="s">
        <v>173</v>
      </c>
      <c r="AJ345" s="17" t="s">
        <v>174</v>
      </c>
    </row>
    <row r="346" spans="6:36" x14ac:dyDescent="0.3">
      <c r="F346" s="18" t="str">
        <f t="shared" si="14"/>
        <v>الدائرة الثالثة جزئي</v>
      </c>
      <c r="G346" s="17">
        <v>89</v>
      </c>
      <c r="H346" s="17" t="s">
        <v>66</v>
      </c>
      <c r="I346" s="17">
        <v>200506</v>
      </c>
      <c r="J346" s="18" t="s">
        <v>528</v>
      </c>
      <c r="K346" s="18" t="s">
        <v>66</v>
      </c>
      <c r="L346" s="17" t="s">
        <v>134</v>
      </c>
      <c r="M346" s="17">
        <v>636</v>
      </c>
      <c r="N346" s="18" t="str">
        <f t="shared" si="15"/>
        <v>محكمة بني سويف الابتدائية</v>
      </c>
      <c r="O346" s="18" t="s">
        <v>207</v>
      </c>
      <c r="P346" s="17" t="s">
        <v>208</v>
      </c>
      <c r="AJ346" s="17" t="s">
        <v>174</v>
      </c>
    </row>
    <row r="347" spans="6:36" x14ac:dyDescent="0.3">
      <c r="F347" s="18" t="str">
        <f t="shared" si="14"/>
        <v>الدائرة الثالثة جزئي</v>
      </c>
      <c r="G347" s="17">
        <v>89</v>
      </c>
      <c r="H347" s="17" t="s">
        <v>66</v>
      </c>
      <c r="I347" s="17">
        <v>200508</v>
      </c>
      <c r="J347" s="18" t="s">
        <v>529</v>
      </c>
      <c r="K347" s="18" t="s">
        <v>66</v>
      </c>
      <c r="L347" s="17" t="s">
        <v>134</v>
      </c>
      <c r="M347" s="17">
        <v>657</v>
      </c>
      <c r="N347" s="18" t="str">
        <f t="shared" si="15"/>
        <v>محكمة بني سويف الابتدائية</v>
      </c>
      <c r="O347" s="18" t="s">
        <v>224</v>
      </c>
      <c r="P347" s="17" t="s">
        <v>225</v>
      </c>
      <c r="AJ347" s="17" t="s">
        <v>174</v>
      </c>
    </row>
    <row r="348" spans="6:36" x14ac:dyDescent="0.3">
      <c r="F348" s="18" t="str">
        <f t="shared" si="14"/>
        <v>الدائرة الأولى جزئي</v>
      </c>
      <c r="G348" s="17">
        <v>90</v>
      </c>
      <c r="H348" s="17" t="s">
        <v>66</v>
      </c>
      <c r="I348" s="17">
        <v>200520</v>
      </c>
      <c r="J348" s="18" t="s">
        <v>530</v>
      </c>
      <c r="K348" s="18" t="s">
        <v>66</v>
      </c>
      <c r="L348" s="17" t="s">
        <v>133</v>
      </c>
      <c r="M348" s="17">
        <v>678</v>
      </c>
      <c r="N348" s="18" t="str">
        <f t="shared" si="15"/>
        <v>محكمة بني سويف الابتدائية</v>
      </c>
      <c r="O348" s="18" t="s">
        <v>193</v>
      </c>
      <c r="P348" s="17" t="s">
        <v>194</v>
      </c>
      <c r="AJ348" s="17" t="s">
        <v>174</v>
      </c>
    </row>
    <row r="349" spans="6:36" x14ac:dyDescent="0.3">
      <c r="F349" s="18" t="str">
        <f t="shared" si="14"/>
        <v>الدائرة الثانية جزئي</v>
      </c>
      <c r="G349" s="17">
        <v>91</v>
      </c>
      <c r="H349" s="17" t="s">
        <v>66</v>
      </c>
      <c r="I349" s="17">
        <v>200522</v>
      </c>
      <c r="J349" s="18" t="s">
        <v>531</v>
      </c>
      <c r="K349" s="18" t="s">
        <v>66</v>
      </c>
      <c r="L349" s="17" t="s">
        <v>131</v>
      </c>
      <c r="M349" s="17">
        <v>699</v>
      </c>
      <c r="N349" s="18" t="str">
        <f t="shared" si="15"/>
        <v>محكمة بني سويف الابتدائية</v>
      </c>
      <c r="O349" s="18" t="s">
        <v>204</v>
      </c>
      <c r="P349" s="17" t="s">
        <v>205</v>
      </c>
      <c r="AJ349" s="17" t="s">
        <v>174</v>
      </c>
    </row>
    <row r="350" spans="6:36" x14ac:dyDescent="0.3">
      <c r="F350" s="18" t="str">
        <f t="shared" si="14"/>
        <v>الدائرة الثانية جزئي</v>
      </c>
      <c r="G350" s="17">
        <v>91</v>
      </c>
      <c r="H350" s="17" t="s">
        <v>66</v>
      </c>
      <c r="I350" s="17">
        <v>200524</v>
      </c>
      <c r="J350" s="18" t="s">
        <v>532</v>
      </c>
      <c r="K350" s="18" t="s">
        <v>66</v>
      </c>
      <c r="L350" s="17" t="s">
        <v>131</v>
      </c>
      <c r="M350" s="17">
        <v>720</v>
      </c>
      <c r="N350" s="18" t="str">
        <f t="shared" si="15"/>
        <v>محكمة بني سويف الابتدائية</v>
      </c>
      <c r="O350" s="18" t="s">
        <v>227</v>
      </c>
      <c r="P350" s="17" t="s">
        <v>228</v>
      </c>
      <c r="AJ350" s="17" t="s">
        <v>174</v>
      </c>
    </row>
    <row r="351" spans="6:36" x14ac:dyDescent="0.3">
      <c r="F351" s="18" t="str">
        <f t="shared" si="14"/>
        <v>الدائرة الثالثة جزئي</v>
      </c>
      <c r="G351" s="17">
        <v>92</v>
      </c>
      <c r="H351" s="17" t="s">
        <v>66</v>
      </c>
      <c r="I351" s="17">
        <v>200529</v>
      </c>
      <c r="J351" s="18" t="s">
        <v>533</v>
      </c>
      <c r="K351" s="18" t="s">
        <v>66</v>
      </c>
      <c r="L351" s="17" t="s">
        <v>135</v>
      </c>
      <c r="M351" s="17">
        <v>741</v>
      </c>
      <c r="N351" s="18" t="str">
        <f t="shared" si="15"/>
        <v>محكمة بني سويف الابتدائية</v>
      </c>
      <c r="O351" s="18" t="s">
        <v>405</v>
      </c>
      <c r="P351" s="17" t="s">
        <v>406</v>
      </c>
      <c r="AJ351" s="17" t="s">
        <v>174</v>
      </c>
    </row>
    <row r="352" spans="6:36" x14ac:dyDescent="0.3">
      <c r="F352" s="18" t="str">
        <f t="shared" si="14"/>
        <v>الدائرة الثالثة جزئي</v>
      </c>
      <c r="G352" s="17">
        <v>92</v>
      </c>
      <c r="H352" s="17" t="s">
        <v>66</v>
      </c>
      <c r="I352" s="17">
        <v>200530</v>
      </c>
      <c r="J352" s="18" t="s">
        <v>534</v>
      </c>
      <c r="K352" s="18" t="s">
        <v>66</v>
      </c>
      <c r="L352" s="17" t="s">
        <v>135</v>
      </c>
      <c r="M352" s="17">
        <v>762</v>
      </c>
      <c r="N352" s="18" t="str">
        <f t="shared" si="15"/>
        <v>محكمة بني سويف الابتدائية</v>
      </c>
      <c r="O352" s="18" t="s">
        <v>392</v>
      </c>
      <c r="P352" s="17" t="s">
        <v>393</v>
      </c>
      <c r="AJ352" s="17" t="s">
        <v>174</v>
      </c>
    </row>
    <row r="353" spans="6:36" x14ac:dyDescent="0.3">
      <c r="F353" s="18" t="str">
        <f t="shared" si="14"/>
        <v>الدائرة الأولى جزئي</v>
      </c>
      <c r="G353" s="17">
        <v>93</v>
      </c>
      <c r="H353" s="17" t="s">
        <v>66</v>
      </c>
      <c r="I353" s="17">
        <v>200543</v>
      </c>
      <c r="J353" s="18" t="s">
        <v>535</v>
      </c>
      <c r="K353" s="18" t="s">
        <v>66</v>
      </c>
      <c r="L353" s="17" t="s">
        <v>133</v>
      </c>
      <c r="M353" s="17">
        <v>783</v>
      </c>
      <c r="N353" s="18" t="str">
        <f t="shared" si="15"/>
        <v>محكمة بني سويف الابتدائية</v>
      </c>
      <c r="O353" s="18" t="s">
        <v>373</v>
      </c>
      <c r="P353" s="17" t="s">
        <v>374</v>
      </c>
      <c r="AJ353" s="17" t="s">
        <v>174</v>
      </c>
    </row>
    <row r="354" spans="6:36" x14ac:dyDescent="0.3">
      <c r="F354" s="18" t="str">
        <f t="shared" si="14"/>
        <v>الدائرة الأولى جزئي</v>
      </c>
      <c r="G354" s="17">
        <v>93</v>
      </c>
      <c r="H354" s="17" t="s">
        <v>66</v>
      </c>
      <c r="I354" s="17">
        <v>200544</v>
      </c>
      <c r="J354" s="18" t="s">
        <v>536</v>
      </c>
      <c r="K354" s="18" t="s">
        <v>66</v>
      </c>
      <c r="L354" s="17" t="s">
        <v>133</v>
      </c>
      <c r="M354" s="17">
        <v>804</v>
      </c>
      <c r="N354" s="18" t="str">
        <f t="shared" si="15"/>
        <v>محكمة بني سويف الابتدائية</v>
      </c>
      <c r="O354" s="18" t="s">
        <v>405</v>
      </c>
      <c r="P354" s="17" t="s">
        <v>406</v>
      </c>
      <c r="AJ354" s="17" t="s">
        <v>174</v>
      </c>
    </row>
    <row r="355" spans="6:36" x14ac:dyDescent="0.3">
      <c r="F355" s="18" t="str">
        <f t="shared" si="14"/>
        <v>الدائرة الأولى جزئي</v>
      </c>
      <c r="G355" s="17">
        <v>93</v>
      </c>
      <c r="H355" s="17" t="s">
        <v>66</v>
      </c>
      <c r="I355" s="17">
        <v>200546</v>
      </c>
      <c r="J355" s="18" t="s">
        <v>537</v>
      </c>
      <c r="K355" s="18" t="s">
        <v>66</v>
      </c>
      <c r="L355" s="17" t="s">
        <v>133</v>
      </c>
      <c r="M355" s="17">
        <v>825</v>
      </c>
      <c r="N355" s="18" t="str">
        <f t="shared" si="15"/>
        <v>محكمة بني سويف الابتدائية</v>
      </c>
      <c r="O355" s="18" t="s">
        <v>179</v>
      </c>
      <c r="P355" s="17" t="s">
        <v>180</v>
      </c>
      <c r="AJ355" s="17" t="s">
        <v>174</v>
      </c>
    </row>
    <row r="356" spans="6:36" x14ac:dyDescent="0.3">
      <c r="F356" s="18" t="str">
        <f t="shared" si="14"/>
        <v>الدائرة الثانية جزئي</v>
      </c>
      <c r="G356" s="17">
        <v>94</v>
      </c>
      <c r="H356" s="17" t="s">
        <v>66</v>
      </c>
      <c r="I356" s="17">
        <v>200548</v>
      </c>
      <c r="J356" s="18" t="s">
        <v>538</v>
      </c>
      <c r="K356" s="18" t="s">
        <v>66</v>
      </c>
      <c r="L356" s="17" t="s">
        <v>135</v>
      </c>
      <c r="M356" s="17">
        <v>846</v>
      </c>
      <c r="N356" s="18" t="str">
        <f t="shared" si="15"/>
        <v>محكمة بني سويف الابتدائية</v>
      </c>
      <c r="O356" s="18" t="s">
        <v>176</v>
      </c>
      <c r="P356" s="17" t="s">
        <v>177</v>
      </c>
      <c r="AJ356" s="17" t="s">
        <v>174</v>
      </c>
    </row>
    <row r="357" spans="6:36" x14ac:dyDescent="0.3">
      <c r="F357" s="18" t="str">
        <f t="shared" si="14"/>
        <v>الدائرة الثانية جزئي</v>
      </c>
      <c r="G357" s="17">
        <v>94</v>
      </c>
      <c r="H357" s="17" t="s">
        <v>66</v>
      </c>
      <c r="I357" s="17">
        <v>200550</v>
      </c>
      <c r="J357" s="18" t="s">
        <v>539</v>
      </c>
      <c r="K357" s="18" t="s">
        <v>66</v>
      </c>
      <c r="L357" s="17" t="s">
        <v>136</v>
      </c>
      <c r="M357" s="17">
        <v>867</v>
      </c>
      <c r="N357" s="18" t="str">
        <f t="shared" si="15"/>
        <v>محكمة بني سويف الابتدائية</v>
      </c>
      <c r="O357" s="18" t="s">
        <v>193</v>
      </c>
      <c r="P357" s="17" t="s">
        <v>194</v>
      </c>
      <c r="AJ357" s="17" t="s">
        <v>174</v>
      </c>
    </row>
  </sheetData>
  <autoFilter ref="AI4:AK357" xr:uid="{00000000-0001-0000-0000-000000000000}"/>
  <mergeCells count="4">
    <mergeCell ref="A2:E2"/>
    <mergeCell ref="F2:P2"/>
    <mergeCell ref="Q2:Z2"/>
    <mergeCell ref="AB2:AM2"/>
  </mergeCells>
  <dataValidations count="6">
    <dataValidation type="list" allowBlank="1" showInputMessage="1" showErrorMessage="1" sqref="C5:C53" xr:uid="{00000000-0002-0000-0000-000000000000}">
      <formula1>$AC$5:$AC$19</formula1>
    </dataValidation>
    <dataValidation type="list" allowBlank="1" showInputMessage="1" showErrorMessage="1" sqref="D5:D53" xr:uid="{00000000-0002-0000-0000-000001000000}">
      <formula1>$AE$5:$AE$9</formula1>
    </dataValidation>
    <dataValidation type="list" allowBlank="1" showInputMessage="1" showErrorMessage="1" sqref="H5:H357 W5:W111" xr:uid="{00000000-0002-0000-0000-000002000000}">
      <formula1>$AG$5:$AG$13</formula1>
    </dataValidation>
    <dataValidation type="list" allowBlank="1" showInputMessage="1" showErrorMessage="1" sqref="K5:K357" xr:uid="{00000000-0002-0000-0000-000003000000}">
      <formula1>$AI$5:$AI$68</formula1>
    </dataValidation>
    <dataValidation type="list" allowBlank="1" showInputMessage="1" showErrorMessage="1" sqref="L5:L357" xr:uid="{00000000-0002-0000-0000-000004000000}">
      <formula1>$AK$5:$AK$10</formula1>
    </dataValidation>
    <dataValidation type="list" allowBlank="1" showInputMessage="1" showErrorMessage="1" sqref="Y5:Y111" xr:uid="{00000000-0002-0000-0000-000005000000}">
      <formula1>$AM$5:$AM$6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التشكيل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fawzy</cp:lastModifiedBy>
  <dcterms:created xsi:type="dcterms:W3CDTF">2026-10-18T00:27:51Z</dcterms:created>
  <dcterms:modified xsi:type="dcterms:W3CDTF">2026-10-18T13:46:23Z</dcterms:modified>
</cp:coreProperties>
</file>