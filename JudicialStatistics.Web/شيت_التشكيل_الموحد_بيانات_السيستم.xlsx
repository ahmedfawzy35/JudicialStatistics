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951464e4b943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6e32d7cd51448981814dd862a355b5.psmdcp" Id="R6b0945f33bdd4ed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التشكيل" sheetId="1" r:id="rId2"/>
  </x:sheets>
  <x:definedNames/>
  <x:calcPr calcId="125725"/>
</x:workbook>
</file>

<file path=xl/calcChain.xml><?xml version="1.0" encoding="utf-8"?>
<x:calcChain xmlns:x="http://schemas.openxmlformats.org/spreadsheetml/2006/main">
  <x:c r="F5" i="1"/>
  <x:c r="N5" i="1"/>
  <x:c r="V5" i="1"/>
  <x:c r="F6" i="1"/>
  <x:c r="N6" i="1"/>
  <x:c r="V6" i="1"/>
  <x:c r="F7" i="1"/>
  <x:c r="N7" i="1"/>
  <x:c r="V7" i="1"/>
  <x:c r="F8" i="1"/>
  <x:c r="N8" i="1"/>
  <x:c r="V8" i="1"/>
  <x:c r="F9" i="1"/>
  <x:c r="N9" i="1"/>
  <x:c r="V9" i="1"/>
  <x:c r="F10" i="1"/>
  <x:c r="N10" i="1"/>
  <x:c r="V10" i="1"/>
  <x:c r="F11" i="1"/>
  <x:c r="N11" i="1"/>
  <x:c r="V11" i="1"/>
  <x:c r="F12" i="1"/>
  <x:c r="N12" i="1"/>
  <x:c r="V12" i="1"/>
  <x:c r="F13" i="1"/>
  <x:c r="N13" i="1"/>
  <x:c r="V13" i="1"/>
  <x:c r="F14" i="1"/>
  <x:c r="N14" i="1"/>
  <x:c r="V14" i="1"/>
  <x:c r="F15" i="1"/>
  <x:c r="N15" i="1"/>
  <x:c r="V15" i="1"/>
  <x:c r="F16" i="1"/>
  <x:c r="N16" i="1"/>
  <x:c r="V16" i="1"/>
  <x:c r="F17" i="1"/>
  <x:c r="N17" i="1"/>
  <x:c r="V17" i="1"/>
  <x:c r="F18" i="1"/>
  <x:c r="N18" i="1"/>
  <x:c r="V18" i="1"/>
  <x:c r="F19" i="1"/>
  <x:c r="N19" i="1"/>
  <x:c r="V19" i="1"/>
  <x:c r="F20" i="1"/>
  <x:c r="N20" i="1"/>
  <x:c r="V20" i="1"/>
  <x:c r="F21" i="1"/>
  <x:c r="N21" i="1"/>
  <x:c r="V21" i="1"/>
  <x:c r="F22" i="1"/>
  <x:c r="N22" i="1"/>
  <x:c r="V22" i="1"/>
  <x:c r="F23" i="1"/>
  <x:c r="N23" i="1"/>
  <x:c r="V23" i="1"/>
  <x:c r="F24" i="1"/>
  <x:c r="N24" i="1"/>
  <x:c r="V24" i="1"/>
  <x:c r="F25" i="1"/>
  <x:c r="N25" i="1"/>
  <x:c r="V25" i="1"/>
  <x:c r="F26" i="1"/>
  <x:c r="N26" i="1"/>
  <x:c r="V26" i="1"/>
  <x:c r="F27" i="1"/>
  <x:c r="N27" i="1"/>
  <x:c r="V27" i="1"/>
  <x:c r="F28" i="1"/>
  <x:c r="N28" i="1"/>
  <x:c r="V28" i="1"/>
  <x:c r="F29" i="1"/>
  <x:c r="N29" i="1"/>
  <x:c r="V29" i="1"/>
  <x:c r="F30" i="1"/>
  <x:c r="N30" i="1"/>
  <x:c r="V30" i="1"/>
  <x:c r="F31" i="1"/>
  <x:c r="N31" i="1"/>
  <x:c r="V31" i="1"/>
  <x:c r="F32" i="1"/>
  <x:c r="N32" i="1"/>
  <x:c r="V32" i="1"/>
  <x:c r="F33" i="1"/>
  <x:c r="N33" i="1"/>
  <x:c r="V33" i="1"/>
  <x:c r="F34" i="1"/>
  <x:c r="N34" i="1"/>
  <x:c r="V34" i="1"/>
  <x:c r="F35" i="1"/>
  <x:c r="N35" i="1"/>
  <x:c r="V35" i="1"/>
  <x:c r="F36" i="1"/>
  <x:c r="N36" i="1"/>
  <x:c r="V36" i="1"/>
  <x:c r="F37" i="1"/>
  <x:c r="N37" i="1"/>
  <x:c r="V37" i="1"/>
  <x:c r="F38" i="1"/>
  <x:c r="N38" i="1"/>
  <x:c r="V38" i="1"/>
  <x:c r="F39" i="1"/>
  <x:c r="N39" i="1"/>
  <x:c r="V39" i="1"/>
  <x:c r="F40" i="1"/>
  <x:c r="N40" i="1"/>
  <x:c r="V40" i="1"/>
  <x:c r="F41" i="1"/>
  <x:c r="N41" i="1"/>
  <x:c r="V41" i="1"/>
  <x:c r="F42" i="1"/>
  <x:c r="N42" i="1"/>
  <x:c r="V42" i="1"/>
  <x:c r="F43" i="1"/>
  <x:c r="N43" i="1"/>
  <x:c r="V43" i="1"/>
  <x:c r="F44" i="1"/>
  <x:c r="N44" i="1"/>
  <x:c r="V44" i="1"/>
  <x:c r="F45" i="1"/>
  <x:c r="N45" i="1"/>
  <x:c r="V45" i="1"/>
  <x:c r="F46" i="1"/>
  <x:c r="N46" i="1"/>
  <x:c r="V46" i="1"/>
  <x:c r="F47" i="1"/>
  <x:c r="N47" i="1"/>
  <x:c r="V47" i="1"/>
  <x:c r="F48" i="1"/>
  <x:c r="N48" i="1"/>
  <x:c r="V48" i="1"/>
  <x:c r="F49" i="1"/>
  <x:c r="N49" i="1"/>
  <x:c r="V49" i="1"/>
  <x:c r="F50" i="1"/>
  <x:c r="N50" i="1"/>
  <x:c r="V50" i="1"/>
  <x:c r="F51" i="1"/>
  <x:c r="N51" i="1"/>
  <x:c r="V51" i="1"/>
  <x:c r="F52" i="1"/>
  <x:c r="N52" i="1"/>
  <x:c r="V52" i="1"/>
  <x:c r="F53" i="1"/>
  <x:c r="N53" i="1"/>
  <x:c r="V53" i="1"/>
  <x:c r="F54" i="1"/>
  <x:c r="N54" i="1"/>
  <x:c r="V54" i="1"/>
  <x:c r="F55" i="1"/>
  <x:c r="N55" i="1"/>
  <x:c r="V55" i="1"/>
  <x:c r="F56" i="1"/>
  <x:c r="N56" i="1"/>
  <x:c r="V56" i="1"/>
  <x:c r="F57" i="1"/>
  <x:c r="N57" i="1"/>
  <x:c r="V57" i="1"/>
  <x:c r="F58" i="1"/>
  <x:c r="N58" i="1"/>
  <x:c r="V58" i="1"/>
  <x:c r="F59" i="1"/>
  <x:c r="N59" i="1"/>
  <x:c r="V59" i="1"/>
  <x:c r="F60" i="1"/>
  <x:c r="N60" i="1"/>
  <x:c r="V60" i="1"/>
  <x:c r="F61" i="1"/>
  <x:c r="N61" i="1"/>
  <x:c r="V61" i="1"/>
  <x:c r="F62" i="1"/>
  <x:c r="N62" i="1"/>
  <x:c r="V62" i="1"/>
  <x:c r="F63" i="1"/>
  <x:c r="N63" i="1"/>
  <x:c r="V63" i="1"/>
  <x:c r="F64" i="1"/>
  <x:c r="N64" i="1"/>
  <x:c r="V64" i="1"/>
  <x:c r="F65" i="1"/>
  <x:c r="N65" i="1"/>
  <x:c r="V65" i="1"/>
  <x:c r="F66" i="1"/>
  <x:c r="N66" i="1"/>
  <x:c r="V66" i="1"/>
  <x:c r="F67" i="1"/>
  <x:c r="N67" i="1"/>
  <x:c r="V67" i="1"/>
  <x:c r="F68" i="1"/>
  <x:c r="N68" i="1"/>
  <x:c r="V68" i="1"/>
  <x:c r="F69" i="1"/>
  <x:c r="N69" i="1"/>
  <x:c r="V69" i="1"/>
  <x:c r="F70" i="1"/>
  <x:c r="N70" i="1"/>
  <x:c r="V70" i="1"/>
  <x:c r="F71" i="1"/>
  <x:c r="N71" i="1"/>
  <x:c r="V71" i="1"/>
  <x:c r="F72" i="1"/>
  <x:c r="N72" i="1"/>
  <x:c r="V72" i="1"/>
  <x:c r="F73" i="1"/>
  <x:c r="N73" i="1"/>
  <x:c r="V73" i="1"/>
  <x:c r="F74" i="1"/>
  <x:c r="N74" i="1"/>
  <x:c r="V74" i="1"/>
  <x:c r="F75" i="1"/>
  <x:c r="N75" i="1"/>
  <x:c r="V75" i="1"/>
  <x:c r="F76" i="1"/>
  <x:c r="N76" i="1"/>
  <x:c r="V76" i="1"/>
  <x:c r="F77" i="1"/>
  <x:c r="N77" i="1"/>
  <x:c r="V77" i="1"/>
  <x:c r="F78" i="1"/>
  <x:c r="N78" i="1"/>
  <x:c r="V78" i="1"/>
  <x:c r="F79" i="1"/>
  <x:c r="N79" i="1"/>
  <x:c r="V79" i="1"/>
  <x:c r="F80" i="1"/>
  <x:c r="N80" i="1"/>
  <x:c r="V80" i="1"/>
  <x:c r="F81" i="1"/>
  <x:c r="N81" i="1"/>
  <x:c r="V81" i="1"/>
  <x:c r="F82" i="1"/>
  <x:c r="N82" i="1"/>
  <x:c r="V82" i="1"/>
  <x:c r="F83" i="1"/>
  <x:c r="N83" i="1"/>
  <x:c r="V83" i="1"/>
  <x:c r="F84" i="1"/>
  <x:c r="N84" i="1"/>
  <x:c r="V84" i="1"/>
  <x:c r="F85" i="1"/>
  <x:c r="N85" i="1"/>
  <x:c r="V85" i="1"/>
  <x:c r="F86" i="1"/>
  <x:c r="N86" i="1"/>
  <x:c r="V86" i="1"/>
  <x:c r="F87" i="1"/>
  <x:c r="N87" i="1"/>
  <x:c r="V87" i="1"/>
  <x:c r="F88" i="1"/>
  <x:c r="N88" i="1"/>
  <x:c r="V88" i="1"/>
  <x:c r="F89" i="1"/>
  <x:c r="N89" i="1"/>
  <x:c r="V89" i="1"/>
  <x:c r="F90" i="1"/>
  <x:c r="N90" i="1"/>
  <x:c r="V90" i="1"/>
  <x:c r="F91" i="1"/>
  <x:c r="N91" i="1"/>
  <x:c r="V91" i="1"/>
  <x:c r="F92" i="1"/>
  <x:c r="N92" i="1"/>
  <x:c r="V92" i="1"/>
  <x:c r="F93" i="1"/>
  <x:c r="N93" i="1"/>
  <x:c r="V93" i="1"/>
  <x:c r="F94" i="1"/>
  <x:c r="N94" i="1"/>
  <x:c r="V94" i="1"/>
  <x:c r="F95" i="1"/>
  <x:c r="N95" i="1"/>
  <x:c r="V95" i="1"/>
  <x:c r="F96" i="1"/>
  <x:c r="N96" i="1"/>
  <x:c r="V96" i="1"/>
  <x:c r="F97" i="1"/>
  <x:c r="N97" i="1"/>
  <x:c r="V97" i="1"/>
  <x:c r="F98" i="1"/>
  <x:c r="N98" i="1"/>
  <x:c r="V98" i="1"/>
  <x:c r="F99" i="1"/>
  <x:c r="N99" i="1"/>
  <x:c r="V99" i="1"/>
  <x:c r="F100" i="1"/>
  <x:c r="N100" i="1"/>
  <x:c r="V100" i="1"/>
  <x:c r="F101" i="1"/>
  <x:c r="N101" i="1"/>
  <x:c r="V101" i="1"/>
  <x:c r="F102" i="1"/>
  <x:c r="N102" i="1"/>
  <x:c r="V102" i="1"/>
  <x:c r="F103" i="1"/>
  <x:c r="N103" i="1"/>
  <x:c r="V103" i="1"/>
  <x:c r="F104" i="1"/>
  <x:c r="N104" i="1"/>
  <x:c r="V104" i="1"/>
  <x:c r="F105" i="1"/>
  <x:c r="N105" i="1"/>
  <x:c r="V105" i="1"/>
  <x:c r="F106" i="1"/>
  <x:c r="N106" i="1"/>
  <x:c r="V106" i="1"/>
  <x:c r="F107" i="1"/>
  <x:c r="N107" i="1"/>
  <x:c r="V107" i="1"/>
  <x:c r="F108" i="1"/>
  <x:c r="N108" i="1"/>
  <x:c r="V108" i="1"/>
  <x:c r="F109" i="1"/>
  <x:c r="N109" i="1"/>
  <x:c r="V109" i="1"/>
  <x:c r="F110" i="1"/>
  <x:c r="N110" i="1"/>
  <x:c r="V110" i="1"/>
  <x:c r="F111" i="1"/>
  <x:c r="N111" i="1"/>
  <x:c r="V111" i="1"/>
  <x:c r="F112" i="1"/>
  <x:c r="N112" i="1"/>
  <x:c r="V112" i="1"/>
  <x:c r="F113" i="1"/>
  <x:c r="N113" i="1"/>
  <x:c r="F114" i="1"/>
  <x:c r="N114" i="1"/>
  <x:c r="F115" i="1"/>
  <x:c r="N115" i="1"/>
  <x:c r="F116" i="1"/>
  <x:c r="N116" i="1"/>
  <x:c r="F117" i="1"/>
  <x:c r="N117" i="1"/>
  <x:c r="F118" i="1"/>
  <x:c r="N118" i="1"/>
  <x:c r="F119" i="1"/>
  <x:c r="N119" i="1"/>
  <x:c r="F120" i="1"/>
  <x:c r="N120" i="1"/>
  <x:c r="F121" i="1"/>
  <x:c r="N121" i="1"/>
  <x:c r="F122" i="1"/>
  <x:c r="N122" i="1"/>
  <x:c r="F123" i="1"/>
  <x:c r="N123" i="1"/>
  <x:c r="F124" i="1"/>
  <x:c r="N124" i="1"/>
  <x:c r="F125" i="1"/>
  <x:c r="N125" i="1"/>
  <x:c r="F126" i="1"/>
  <x:c r="N126" i="1"/>
  <x:c r="F127" i="1"/>
  <x:c r="N127" i="1"/>
  <x:c r="F128" i="1"/>
  <x:c r="N128" i="1"/>
  <x:c r="F129" i="1"/>
  <x:c r="N129" i="1"/>
  <x:c r="F130" i="1"/>
  <x:c r="N130" i="1"/>
  <x:c r="F131" i="1"/>
  <x:c r="N131" i="1"/>
  <x:c r="F132" i="1"/>
  <x:c r="N132" i="1"/>
  <x:c r="F133" i="1"/>
  <x:c r="N133" i="1"/>
  <x:c r="F134" i="1"/>
  <x:c r="N134" i="1"/>
  <x:c r="F135" i="1"/>
  <x:c r="N135" i="1"/>
  <x:c r="F136" i="1"/>
  <x:c r="N136" i="1"/>
  <x:c r="F137" i="1"/>
  <x:c r="N137" i="1"/>
  <x:c r="F138" i="1"/>
  <x:c r="N138" i="1"/>
  <x:c r="F139" i="1"/>
  <x:c r="N139" i="1"/>
  <x:c r="F140" i="1"/>
  <x:c r="N140" i="1"/>
  <x:c r="F141" i="1"/>
  <x:c r="N141" i="1"/>
  <x:c r="F142" i="1"/>
  <x:c r="N142" i="1"/>
  <x:c r="F143" i="1"/>
  <x:c r="N143" i="1"/>
  <x:c r="F144" i="1"/>
  <x:c r="N144" i="1"/>
  <x:c r="F145" i="1"/>
  <x:c r="N145" i="1"/>
  <x:c r="F146" i="1"/>
  <x:c r="N146" i="1"/>
  <x:c r="F147" i="1"/>
  <x:c r="N147" i="1"/>
  <x:c r="F148" i="1"/>
  <x:c r="N148" i="1"/>
  <x:c r="F149" i="1"/>
  <x:c r="N149" i="1"/>
  <x:c r="F150" i="1"/>
  <x:c r="N150" i="1"/>
  <x:c r="F151" i="1"/>
  <x:c r="N151" i="1"/>
  <x:c r="F152" i="1"/>
  <x:c r="N152" i="1"/>
  <x:c r="F153" i="1"/>
  <x:c r="N153" i="1"/>
  <x:c r="F154" i="1"/>
  <x:c r="N154" i="1"/>
  <x:c r="F155" i="1"/>
  <x:c r="N155" i="1"/>
  <x:c r="F156" i="1"/>
  <x:c r="N156" i="1"/>
  <x:c r="F157" i="1"/>
  <x:c r="N157" i="1"/>
  <x:c r="F158" i="1"/>
  <x:c r="N158" i="1"/>
  <x:c r="F159" i="1"/>
  <x:c r="N159" i="1"/>
  <x:c r="F160" i="1"/>
  <x:c r="N160" i="1"/>
  <x:c r="F161" i="1"/>
  <x:c r="N161" i="1"/>
  <x:c r="F162" i="1"/>
  <x:c r="N162" i="1"/>
  <x:c r="F163" i="1"/>
  <x:c r="N163" i="1"/>
  <x:c r="F164" i="1"/>
  <x:c r="N164" i="1"/>
  <x:c r="F165" i="1"/>
  <x:c r="N165" i="1"/>
  <x:c r="F166" i="1"/>
  <x:c r="N166" i="1"/>
  <x:c r="F167" i="1"/>
  <x:c r="N167" i="1"/>
  <x:c r="F168" i="1"/>
  <x:c r="N168" i="1"/>
  <x:c r="F169" i="1"/>
  <x:c r="N169" i="1"/>
  <x:c r="F170" i="1"/>
  <x:c r="N170" i="1"/>
  <x:c r="F171" i="1"/>
  <x:c r="N171" i="1"/>
  <x:c r="F172" i="1"/>
  <x:c r="N172" i="1"/>
  <x:c r="F173" i="1"/>
  <x:c r="N173" i="1"/>
  <x:c r="F174" i="1"/>
  <x:c r="N174" i="1"/>
  <x:c r="F175" i="1"/>
  <x:c r="N175" i="1"/>
  <x:c r="F176" i="1"/>
  <x:c r="N176" i="1"/>
  <x:c r="F177" i="1"/>
  <x:c r="N177" i="1"/>
  <x:c r="F178" i="1"/>
  <x:c r="N178" i="1"/>
  <x:c r="F179" i="1"/>
  <x:c r="N179" i="1"/>
  <x:c r="F180" i="1"/>
  <x:c r="N180" i="1"/>
  <x:c r="F181" i="1"/>
  <x:c r="N181" i="1"/>
  <x:c r="F182" i="1"/>
  <x:c r="N182" i="1"/>
  <x:c r="F183" i="1"/>
  <x:c r="N183" i="1"/>
  <x:c r="F184" i="1"/>
  <x:c r="N184" i="1"/>
  <x:c r="F185" i="1"/>
  <x:c r="N185" i="1"/>
  <x:c r="F186" i="1"/>
  <x:c r="N186" i="1"/>
  <x:c r="F187" i="1"/>
  <x:c r="N187" i="1"/>
  <x:c r="F188" i="1"/>
  <x:c r="N188" i="1"/>
  <x:c r="F189" i="1"/>
  <x:c r="N189" i="1"/>
  <x:c r="F190" i="1"/>
  <x:c r="N190" i="1"/>
  <x:c r="F191" i="1"/>
  <x:c r="N191" i="1"/>
  <x:c r="F192" i="1"/>
  <x:c r="N192" i="1"/>
  <x:c r="F193" i="1"/>
  <x:c r="N193" i="1"/>
  <x:c r="F194" i="1"/>
  <x:c r="N194" i="1"/>
  <x:c r="F195" i="1"/>
  <x:c r="N195" i="1"/>
  <x:c r="F196" i="1"/>
  <x:c r="N196" i="1"/>
  <x:c r="F197" i="1"/>
  <x:c r="N197" i="1"/>
  <x:c r="F198" i="1"/>
  <x:c r="N198" i="1"/>
  <x:c r="F199" i="1"/>
  <x:c r="N199" i="1"/>
  <x:c r="F200" i="1"/>
  <x:c r="N200" i="1"/>
  <x:c r="F201" i="1"/>
  <x:c r="N201" i="1"/>
  <x:c r="F202" i="1"/>
  <x:c r="N202" i="1"/>
  <x:c r="F203" i="1"/>
  <x:c r="N203" i="1"/>
  <x:c r="F204" i="1"/>
  <x:c r="N204" i="1"/>
  <x:c r="F205" i="1"/>
  <x:c r="N205" i="1"/>
  <x:c r="F206" i="1"/>
  <x:c r="N206" i="1"/>
  <x:c r="F207" i="1"/>
  <x:c r="N207" i="1"/>
  <x:c r="F208" i="1"/>
  <x:c r="N208" i="1"/>
  <x:c r="F209" i="1"/>
  <x:c r="N209" i="1"/>
  <x:c r="F210" i="1"/>
  <x:c r="N210" i="1"/>
  <x:c r="F211" i="1"/>
  <x:c r="N211" i="1"/>
  <x:c r="F212" i="1"/>
  <x:c r="N212" i="1"/>
  <x:c r="F213" i="1"/>
  <x:c r="N213" i="1"/>
  <x:c r="F214" i="1"/>
  <x:c r="N214" i="1"/>
  <x:c r="F215" i="1"/>
  <x:c r="N215" i="1"/>
  <x:c r="F216" i="1"/>
  <x:c r="N216" i="1"/>
</x:calcChain>
</file>

<file path=xl/sharedStrings.xml><?xml version="1.0" encoding="utf-8"?>
<x:sst xmlns:x="http://schemas.openxmlformats.org/spreadsheetml/2006/main">
  <x:si>
    <x:t>الدوائر</x:t>
  </x:si>
  <x:si>
    <x:t>الجلسات</x:t>
  </x:si>
  <x:si>
    <x:t>القضاة</x:t>
  </x:si>
  <x:si>
    <x:t>الجداول المرجعية وقوائم الاختيار للنظام (System Reference &amp; Lookup Tables)</x:t>
  </x:si>
  <x:si>
    <x:t>رقم الدائرة</x:t>
  </x:si>
  <x:si>
    <x:t>اسم الدائرة</x:t>
  </x:si>
  <x:si>
    <x:t>المحكمة / المأمورية</x:t>
  </x:si>
  <x:si>
    <x:t>نوع الدائرة</x:t>
  </x:si>
  <x:si>
    <x:t>بداية</x:t>
  </x:si>
  <x:si>
    <x:t>اسم الدائرة (معادلة)</x:t>
  </x:si>
  <x:si>
    <x:t>التخصص القضائي</x:t>
  </x:si>
  <x:si>
    <x:t>رقم الجلسة</x:t>
  </x:si>
  <x:si>
    <x:t>اسم الجلسة</x:t>
  </x:si>
  <x:si>
    <x:t>نوع الجلسة</x:t>
  </x:si>
  <x:si>
    <x:t>يوم العمل</x:t>
  </x:si>
  <x:si>
    <x:t>بداية الرنج</x:t>
  </x:si>
  <x:si>
    <x:t>المحكمة (معادلة)</x:t>
  </x:si>
  <x:si>
    <x:t>اسم سكرتير الجلسة</x:t>
  </x:si>
  <x:si>
    <x:t>رقم تليفون سكرتير الجلسة</x:t>
  </x:si>
  <x:si>
    <x:t>رقم القاضي</x:t>
  </x:si>
  <x:si>
    <x:t>اسم القاضي</x:t>
  </x:si>
  <x:si>
    <x:t>الاقدمية</x:t>
  </x:si>
  <x:si>
    <x:t>الدرجة</x:t>
  </x:si>
  <x:si>
    <x:t>العمل بالدائرة</x:t>
  </x:si>
  <x:si>
    <x:t>الحالة</x:t>
  </x:si>
  <x:si>
    <x:t>السبب</x:t>
  </x:si>
  <x:si>
    <x:t>كود المحكمة</x:t>
  </x:si>
  <x:si>
    <x:t>المحكمة أو المأمورية</x:t>
  </x:si>
  <x:si>
    <x:t>حالة القاضي</x:t>
  </x:si>
  <x:si>
    <x:t>BNISF-COURT</x:t>
  </x:si>
  <x:si>
    <x:t>محكمة بني سويف الابتدائية</x:t>
  </x:si>
  <x:si>
    <x:t>BNISF-PLENARY</x:t>
  </x:si>
  <x:si>
    <x:t>مأمورية بني سويف الكلية</x:t>
  </x:si>
  <x:si>
    <x:t>WASTA-PLENARY</x:t>
  </x:si>
  <x:si>
    <x:t>مأمورية الواسطى الكلية</x:t>
  </x:si>
  <x:si>
    <x:t>BEBA-PLENARY</x:t>
  </x:si>
  <x:si>
    <x:t>مأمورية ببا الكلية</x:t>
  </x:si>
  <x:si>
    <x:t>BANDAR-PARTIAL</x:t>
  </x:si>
  <x:si>
    <x:t>محكمة بندر بني سويف الجزئية</x:t>
  </x:si>
  <x:si>
    <x:t>MARKAZ-PARTIAL</x:t>
  </x:si>
  <x:si>
    <x:t>محكمة مركز بني سويف الجزئية</x:t>
  </x:si>
  <x:si>
    <x:t>WASTA-PARTIAL</x:t>
  </x:si>
  <x:si>
    <x:t>محكمة الواسطى الجزئية</x:t>
  </x:si>
  <x:si>
    <x:t>NASSER-PARTIAL</x:t>
  </x:si>
  <x:si>
    <x:t>محكمة ناصر الجزئية</x:t>
  </x:si>
  <x:si>
    <x:t>EHNASSIA-PARTIAL</x:t>
  </x:si>
  <x:si>
    <x:t>محكمة اهناسيا الجزئية</x:t>
  </x:si>
  <x:si>
    <x:t>BEBA-PARTIAL</x:t>
  </x:si>
  <x:si>
    <x:t>محكمة ببا الجزئية</x:t>
  </x:si>
  <x:si>
    <x:t>FASHN-PARTIAL</x:t>
  </x:si>
  <x:si>
    <x:t>محكمة الفشن الجزئية</x:t>
  </x:si>
  <x:si>
    <x:t>SOMOSTA-PARTIAL</x:t>
  </x:si>
  <x:si>
    <x:t>محكمة سمسطا الجزئية</x:t>
  </x:si>
  <x:si>
    <x:t>FAM-COURT</x:t>
  </x:si>
  <x:si>
    <x:t>محكمة الأسرة بني سويف</x:t>
  </x:si>
  <x:si>
    <x:t>LAB-COURT</x:t>
  </x:si>
  <x:si>
    <x:t>المحكمة العمالية بني سويف</x:t>
  </x:si>
  <x:si>
    <x:t>FYM-COURT</x:t>
  </x:si>
  <x:si>
    <x:t>محكمة الفيوم الابتدائية</x:t>
  </x:si>
  <x:si>
    <x:t>مدني كلي</x:t>
  </x:si>
  <x:si>
    <x:t>أسرة</x:t>
  </x:si>
  <x:si>
    <x:t>جنح مستأنف</x:t>
  </x:si>
  <x:si>
    <x:t>عمالية</x:t>
  </x:si>
  <x:si>
    <x:t>جزئي</x:t>
  </x:si>
  <x:si>
    <x:t>جنح جزئي</x:t>
  </x:si>
  <x:si>
    <x:t>مدني جزئي</x:t>
  </x:si>
  <x:si>
    <x:t>مدني</x:t>
  </x:si>
  <x:si>
    <x:t>جنائي</x:t>
  </x:si>
  <x:si>
    <x:t>عمال</x:t>
  </x:si>
  <x:si>
    <x:t>جنح البيئة مستأنفة</x:t>
  </x:si>
  <x:si>
    <x:t>جنح العنف ضد المرأة مستأنفة</x:t>
  </x:si>
  <x:si>
    <x:t>جنح المباني مستأنفة</x:t>
  </x:si>
  <x:si>
    <x:t>جنح ماسة بأمن البلاد مستأنفة</x:t>
  </x:si>
  <x:si>
    <x:t>جنح مستأنف بندر</x:t>
  </x:si>
  <x:si>
    <x:t>جنح مستأنف مركز</x:t>
  </x:si>
  <x:si>
    <x:t>جنح ومخالفات مستأنفة</x:t>
  </x:si>
  <x:si>
    <x:t>قضايا العنف ضد المرأة</x:t>
  </x:si>
  <x:si>
    <x:t>لجنة الإعفاء من الرسوم القضائية</x:t>
  </x:si>
  <x:si>
    <x:t>مباني</x:t>
  </x:si>
  <x:si>
    <x:t>أسرة نفس وحبس</x:t>
  </x:si>
  <x:si>
    <x:t>أسرة مال</x:t>
  </x:si>
  <x:si>
    <x:t>أسرة نفس</x:t>
  </x:si>
  <x:si>
    <x:t>تأمينات اجتماعية</x:t>
  </x:si>
  <x:si>
    <x:t>تعويضات عمالية</x:t>
  </x:si>
  <x:si>
    <x:t>جنح ومخالفات</x:t>
  </x:si>
  <x:si>
    <x:t>حبس أسرة</x:t>
  </x:si>
  <x:si>
    <x:t>عمال كلي</x:t>
  </x:si>
  <x:si>
    <x:t>مباني وأملاك الدولة</x:t>
  </x:si>
  <x:si>
    <x:t>أوقاف</x:t>
  </x:si>
  <x:si>
    <x:t>إيجارات</x:t>
  </x:si>
  <x:si>
    <x:t>تأمينات</x:t>
  </x:si>
  <x:si>
    <x:t>تجاري</x:t>
  </x:si>
  <x:si>
    <x:t>تعويضات</x:t>
  </x:si>
  <x:si>
    <x:t>حكومة</x:t>
  </x:si>
  <x:si>
    <x:t>مستأنف أوقاف</x:t>
  </x:si>
  <x:si>
    <x:t>مستأنف مدني كلي</x:t>
  </x:si>
  <x:si>
    <x:t>مستأنف مستعجل</x:t>
  </x:si>
  <x:si>
    <x:t>جنايات طفل أول درجة</x:t>
  </x:si>
  <x:si>
    <x:t>جنايات طفل مستأنف</x:t>
  </x:si>
  <x:si>
    <x:t>جنح طفل أول درجة</x:t>
  </x:si>
  <x:si>
    <x:t>جنح طفل مستأنف</x:t>
  </x:si>
  <x:si>
    <x:t>جنح عمال</x:t>
  </x:si>
  <x:si>
    <x:t>قضايا عمال</x:t>
  </x:si>
  <x:si>
    <x:t>جنح البيئة جزئي</x:t>
  </x:si>
  <x:si>
    <x:t>جنح العنف ضد المرأة</x:t>
  </x:si>
  <x:si>
    <x:t>جنح المباني وأملاك الدولة</x:t>
  </x:si>
  <x:si>
    <x:t>جنح المرور جزئي</x:t>
  </x:si>
  <x:si>
    <x:t>جنح ومخالفات جزئي</x:t>
  </x:si>
  <x:si>
    <x:t>حكومة جزئي</x:t>
  </x:si>
  <x:si>
    <x:t>صحة توقيع</x:t>
  </x:si>
  <x:si>
    <x:t>قضايا ماسة بأمن البلاد جزئي</x:t>
  </x:si>
  <x:si>
    <x:t>مستعجل جزئي</x:t>
  </x:si>
  <x:si>
    <x:t>مدني مستأنف</x:t>
  </x:si>
  <x:si>
    <x:t>كلي مستأنف</x:t>
  </x:si>
  <x:si>
    <x:t>كلي صحة توقيع</x:t>
  </x:si>
  <x:si>
    <x:t>جنح المرور</x:t>
  </x:si>
  <x:si>
    <x:t>جنح البيئة</x:t>
  </x:si>
  <x:si>
    <x:t>السبت</x:t>
  </x:si>
  <x:si>
    <x:t>الأحد</x:t>
  </x:si>
  <x:si>
    <x:t>الاثنين</x:t>
  </x:si>
  <x:si>
    <x:t>الثلاثاء</x:t>
  </x:si>
  <x:si>
    <x:t>الأربعاء</x:t>
  </x:si>
  <x:si>
    <x:t>الخميس</x:t>
  </x:si>
  <x:si>
    <x:t>يعمل</x:t>
  </x:si>
  <x:si>
    <x:t>لا يعمل</x:t>
  </x:si>
  <x:si>
    <x:t>الدائرة الأولى مدني كلي بني سويف</x:t>
  </x:si>
  <x:si>
    <x:t>6</x:t>
  </x:si>
  <x:si>
    <x:t>الدائرة الثانية مدني كلي بني سويف</x:t>
  </x:si>
  <x:si>
    <x:t>66</x:t>
  </x:si>
  <x:si>
    <x:t>الدائرة الثالثة مدني كلي بني سويف</x:t>
  </x:si>
  <x:si>
    <x:t>126</x:t>
  </x:si>
  <x:si>
    <x:t>الدائرة الرابعة مدني كلي بني سويف</x:t>
  </x:si>
  <x:si>
    <x:t>186</x:t>
  </x:si>
  <x:si>
    <x:t>الدائرة الخامسة مدني كلي ومستأنف الواسطى</x:t>
  </x:si>
  <x:si>
    <x:t>231</x:t>
  </x:si>
  <x:si>
    <x:t>الدائرة السادسة مدني كلي ببا</x:t>
  </x:si>
  <x:si>
    <x:t>336</x:t>
  </x:si>
  <x:si>
    <x:t>الدائرة السابعة مدني كلي ومستأنف ببا</x:t>
  </x:si>
  <x:si>
    <x:t>426</x:t>
  </x:si>
  <x:si>
    <x:t>الدائرة الثامنة مدني كلي مسأنف بني سويف</x:t>
  </x:si>
  <x:si>
    <x:t>501</x:t>
  </x:si>
  <x:si>
    <x:t>الدائررة الأولى اسرة بندر</x:t>
  </x:si>
  <x:si>
    <x:t>الدائرة الثانية اسرة مركز</x:t>
  </x:si>
  <x:si>
    <x:t>54</x:t>
  </x:si>
  <x:si>
    <x:t>الدائرة الثالثة اسرة الواسطى</x:t>
  </x:si>
  <x:si>
    <x:t>102</x:t>
  </x:si>
  <x:si>
    <x:t>الدائرة الرابعة اسرة ببا</x:t>
  </x:si>
  <x:si>
    <x:t>150</x:t>
  </x:si>
  <x:si>
    <x:t>الدائرة الخامسة اسرة الفشن</x:t>
  </x:si>
  <x:si>
    <x:t>198</x:t>
  </x:si>
  <x:si>
    <x:t>الدائرة السادسة اسرة اهناسيا</x:t>
  </x:si>
  <x:si>
    <x:t>246</x:t>
  </x:si>
  <x:si>
    <x:t>الدائرة السابعة اسرة سمسطا</x:t>
  </x:si>
  <x:si>
    <x:t>294</x:t>
  </x:si>
  <x:si>
    <x:t>الدائرة الثامنة اسرة ناصر</x:t>
  </x:si>
  <x:si>
    <x:t>342</x:t>
  </x:si>
  <x:si>
    <x:t>الدائرة الأولى جنائي بندر بني سويف</x:t>
  </x:si>
  <x:si>
    <x:t>12</x:t>
  </x:si>
  <x:si>
    <x:t>الدائرة الثانية جنائي مركز بني سويف</x:t>
  </x:si>
  <x:si>
    <x:t>20</x:t>
  </x:si>
  <x:si>
    <x:t>الدائرة الثالثة جنائي مركز ناصر</x:t>
  </x:si>
  <x:si>
    <x:t>26</x:t>
  </x:si>
  <x:si>
    <x:t>الدائرة الرابعة جنائي مركز اهناسيا</x:t>
  </x:si>
  <x:si>
    <x:t>32</x:t>
  </x:si>
  <x:si>
    <x:t>الدائرة الخامسة جنائي مركز الواسطى</x:t>
  </x:si>
  <x:si>
    <x:t>39</x:t>
  </x:si>
  <x:si>
    <x:t>الدائرة السادسة جنائي مركز ببا</x:t>
  </x:si>
  <x:si>
    <x:t>47</x:t>
  </x:si>
  <x:si>
    <x:t>الدائرة السابعة جنائي مركز الفشن</x:t>
  </x:si>
  <x:si>
    <x:t>53</x:t>
  </x:si>
  <x:si>
    <x:t>الدائرة الثامنة جنائي مركز سمسطا</x:t>
  </x:si>
  <x:si>
    <x:t>59</x:t>
  </x:si>
  <x:si>
    <x:t>الدائرة الاولى  عمالية مدني</x:t>
  </x:si>
  <x:si>
    <x:t>10</x:t>
  </x:si>
  <x:si>
    <x:t>الدائرة الثانية  عمالية مدني</x:t>
  </x:si>
  <x:si>
    <x:t>118</x:t>
  </x:si>
  <x:si>
    <x:t>الدائرة الاولي جزئي بندر بني سويف</x:t>
  </x:si>
  <x:si>
    <x:t>د1</x:t>
  </x:si>
  <x:si>
    <x:t>الدائرة الثانية جزئي بندر بني سويف</x:t>
  </x:si>
  <x:si>
    <x:t>د2</x:t>
  </x:si>
  <x:si>
    <x:t>الدائرة الثالثة جزئي بندر بني سويف</x:t>
  </x:si>
  <x:si>
    <x:t>د3</x:t>
  </x:si>
  <x:si>
    <x:t>الدائرة الرابعة جزئي بندر بني سويف</x:t>
  </x:si>
  <x:si>
    <x:t>د4</x:t>
  </x:si>
  <x:si>
    <x:t>الدائرة الأولي جزئي مركز بني سويف</x:t>
  </x:si>
  <x:si>
    <x:t>الدائرة الثانية جزئي مركز بني سويف</x:t>
  </x:si>
  <x:si>
    <x:t>الدائرة الثالثة جزئي مركز بني سويف</x:t>
  </x:si>
  <x:si>
    <x:t>الدائرة الأولي جزئي مركز الواسطي</x:t>
  </x:si>
  <x:si>
    <x:t>الدائرة الثانية جزئي مركز الواسطي</x:t>
  </x:si>
  <x:si>
    <x:t>الدائرة الثالثة جزئي مركز الواسطي</x:t>
  </x:si>
  <x:si>
    <x:t>الدائرة الأولي جزئي مركز ناصر</x:t>
  </x:si>
  <x:si>
    <x:t>الدائرة الثانية جزئي مركز ناصر</x:t>
  </x:si>
  <x:si>
    <x:t>الدائرة الأولي جزئي مركز اهناسيا</x:t>
  </x:si>
  <x:si>
    <x:t>الدائرة الثانية جزئي مركز اهناسيا</x:t>
  </x:si>
  <x:si>
    <x:t>الدائرة الأولي جزئي مركز ببا</x:t>
  </x:si>
  <x:si>
    <x:t>الدائرة الثانية جزئي مركز ببا</x:t>
  </x:si>
  <x:si>
    <x:t>الدائرة الثالثة جزئي مركز ببا</x:t>
  </x:si>
  <x:si>
    <x:t>الدائرة الأولي جزئي مركز الفشن</x:t>
  </x:si>
  <x:si>
    <x:t>الدائرة الثانية جزئي مركز الفشن</x:t>
  </x:si>
  <x:si>
    <x:t>الدائرة الثالثة جزئي مركز الفنش</x:t>
  </x:si>
  <x:si>
    <x:t>الدائرة الأولي جزئي مركز سمسطا</x:t>
  </x:si>
  <x:si>
    <x:t>الدائرة الثانية جزئي مركز سمسطا</x:t>
  </x:si>
  <x:si>
    <x:t>السبت مدني كلي</x:t>
  </x:si>
  <x:si>
    <x:t/>
  </x:si>
  <x:si>
    <x:t>السبت اوقاف</x:t>
  </x:si>
  <x:si>
    <x:t>اوقاف</x:t>
  </x:si>
  <x:si>
    <x:t>الاحد مدني كلي</x:t>
  </x:si>
  <x:si>
    <x:t>الاثنين مدني كلي</x:t>
  </x:si>
  <x:si>
    <x:t>السبت حكومة</x:t>
  </x:si>
  <x:si>
    <x:t>السبت تجاري</x:t>
  </x:si>
  <x:si>
    <x:t>الثلاثاء مدني كلي</x:t>
  </x:si>
  <x:si>
    <x:t>الأربعاء مدني كلي</x:t>
  </x:si>
  <x:si>
    <x:t>الخميس ايجارات</x:t>
  </x:si>
  <x:si>
    <x:t>ايجارات</x:t>
  </x:si>
  <x:si>
    <x:t>الخميس اوقاف</x:t>
  </x:si>
  <x:si>
    <x:t>الاثنين تعويضات</x:t>
  </x:si>
  <x:si>
    <x:t>السبت مدني كلي فردي</x:t>
  </x:si>
  <x:si>
    <x:t>الاحدايجارات</x:t>
  </x:si>
  <x:si>
    <x:t>الاثنين مدني مستأنف</x:t>
  </x:si>
  <x:si>
    <x:t>الاثنين مدني مستأنف مستعجل</x:t>
  </x:si>
  <x:si>
    <x:t>الاثنين تجاري</x:t>
  </x:si>
  <x:si>
    <x:t>الأربعاء تجاري</x:t>
  </x:si>
  <x:si>
    <x:t>الخميس مدني كلي</x:t>
  </x:si>
  <x:si>
    <x:t>الخميس حكومة</x:t>
  </x:si>
  <x:si>
    <x:t>الاحد تعويضات</x:t>
  </x:si>
  <x:si>
    <x:t>الاثنين مستأنف</x:t>
  </x:si>
  <x:si>
    <x:t>الاثنين مستأنف مستعجل</x:t>
  </x:si>
  <x:si>
    <x:t>الثلاثاء مدني مستأنف</x:t>
  </x:si>
  <x:si>
    <x:t>الثلاثاء مدني مستأنف أوقاف</x:t>
  </x:si>
  <x:si>
    <x:t>مستأنف اوقاف</x:t>
  </x:si>
  <x:si>
    <x:t>الأربعاء مدني مستأنف</x:t>
  </x:si>
  <x:si>
    <x:t>الخميس مدني مستأنف</x:t>
  </x:si>
  <x:si>
    <x:t>الخميس مدني مستأنف مستعجل</x:t>
  </x:si>
  <x:si>
    <x:t>السبت اسرة البندر</x:t>
  </x:si>
  <x:si>
    <x:t>نفس + حبس</x:t>
  </x:si>
  <x:si>
    <x:t>الاحد اسرة بندر</x:t>
  </x:si>
  <x:si>
    <x:t>الاثنين اسرة بندر</x:t>
  </x:si>
  <x:si>
    <x:t>الثلاثاء اسرة مركز</x:t>
  </x:si>
  <x:si>
    <x:t>الاربعاء اسرة مركز</x:t>
  </x:si>
  <x:si>
    <x:t>الخميس اسرة مركز</x:t>
  </x:si>
  <x:si>
    <x:t>السبت اسرة الواسطى</x:t>
  </x:si>
  <x:si>
    <x:t>الاحد اسرة الواسطى</x:t>
  </x:si>
  <x:si>
    <x:t>الاثنين اسرة الواسطى</x:t>
  </x:si>
  <x:si>
    <x:t>السبت اسرة ببا</x:t>
  </x:si>
  <x:si>
    <x:t>الاحد اسرة ببا</x:t>
  </x:si>
  <x:si>
    <x:t>الاثنين اسرة ببا</x:t>
  </x:si>
  <x:si>
    <x:t>الثلاثاء اسرة الفشن</x:t>
  </x:si>
  <x:si>
    <x:t>الأربعاء اسرة الفشن</x:t>
  </x:si>
  <x:si>
    <x:t>الخميس اسرة الفشن</x:t>
  </x:si>
  <x:si>
    <x:t>السبت اسرة اهناسيا</x:t>
  </x:si>
  <x:si>
    <x:t>الاحد اسرة اهناسيا</x:t>
  </x:si>
  <x:si>
    <x:t>الاثنين اسرة اهناسيا</x:t>
  </x:si>
  <x:si>
    <x:t>الثلاثاء اسرة سمسطا</x:t>
  </x:si>
  <x:si>
    <x:t>الأربعاء اسرة سمسطا</x:t>
  </x:si>
  <x:si>
    <x:t>الخميس اسرة سمسطا</x:t>
  </x:si>
  <x:si>
    <x:t>السبت اسرة ناصر</x:t>
  </x:si>
  <x:si>
    <x:t>الاحد اسرة ناصر</x:t>
  </x:si>
  <x:si>
    <x:t>الاثنين اسرة ناصر</x:t>
  </x:si>
  <x:si>
    <x:t>الثلاثاء -جنح مستأنفة - بندر</x:t>
  </x:si>
  <x:si>
    <x:t>جنح مستأنفة</x:t>
  </x:si>
  <x:si>
    <x:t>الثلاثاء -جنح مباني - بندر</x:t>
  </x:si>
  <x:si>
    <x:t>جنح مباني</x:t>
  </x:si>
  <x:si>
    <x:t>الثلاثاء -العنف ضد المرأة - بندر</x:t>
  </x:si>
  <x:si>
    <x:t>العنف ضد المرأة</x:t>
  </x:si>
  <x:si>
    <x:t>الأربعاء -جنح مستأنفة - بندر</x:t>
  </x:si>
  <x:si>
    <x:t>الأربعاء -طفل جزئي - بندر</x:t>
  </x:si>
  <x:si>
    <x:t>طفل جزئي</x:t>
  </x:si>
  <x:si>
    <x:t>الخميس -جنح مستأنفة - بندر</x:t>
  </x:si>
  <x:si>
    <x:t>الخميس -امن دولة - بندر</x:t>
  </x:si>
  <x:si>
    <x:t>امن دولة</x:t>
  </x:si>
  <x:si>
    <x:t>السبت -جنح مستأنفة - مركز</x:t>
  </x:si>
  <x:si>
    <x:t>السبت -جنح بيئة - مركز</x:t>
  </x:si>
  <x:si>
    <x:t>جنح بيئة</x:t>
  </x:si>
  <x:si>
    <x:t>الاحد -جنح مستأنفة - مركز</x:t>
  </x:si>
  <x:si>
    <x:t>الاثنين -جنح مستأنفة - مركز</x:t>
  </x:si>
  <x:si>
    <x:t>الثلاثاء -جنح مستأنفة - ناصر</x:t>
  </x:si>
  <x:si>
    <x:t>الثلاثاء -العنف ضد المرأة - ناصر</x:t>
  </x:si>
  <x:si>
    <x:t>الأربعاء -جنح مستأنفة - ناصر</x:t>
  </x:si>
  <x:si>
    <x:t>الأربعاء -جنح مباني - ناصر</x:t>
  </x:si>
  <x:si>
    <x:t>الخميس -جنح مستأنفة - ناصر</x:t>
  </x:si>
  <x:si>
    <x:t>السبت -جنح مستأنفة - اهناسيا</x:t>
  </x:si>
  <x:si>
    <x:t>السبت -لجنة الاعفاء من الرسوم القضائية - اهناسيا</x:t>
  </x:si>
  <x:si>
    <x:t>لجنة الاعفاء من الرسوم القضائية</x:t>
  </x:si>
  <x:si>
    <x:t>الاحد -جنح مستأنفة - اهناسيا</x:t>
  </x:si>
  <x:si>
    <x:t>الاحد -طفل مستأنف - اهناسيا</x:t>
  </x:si>
  <x:si>
    <x:t>طفل مستأنف</x:t>
  </x:si>
  <x:si>
    <x:t>الاثنين -جنح مستأنفة - اهناسيا</x:t>
  </x:si>
  <x:si>
    <x:t>الثلاثاء -جنح مستأنفة - الواسطى</x:t>
  </x:si>
  <x:si>
    <x:t>الثلاثاء -جنح مباني - الواسطى</x:t>
  </x:si>
  <x:si>
    <x:t>الثلاثاء -جنح بيئة - الواسطى</x:t>
  </x:si>
  <x:si>
    <x:t>الأربعاء -جنح مستأنفة - الواسطى</x:t>
  </x:si>
  <x:si>
    <x:t>الأربعاء -لجنة الاعفاء من الرسوم القضائية - الواسطى</x:t>
  </x:si>
  <x:si>
    <x:t>الخميس -جنح مستأنفة - الواسطى</x:t>
  </x:si>
  <x:si>
    <x:t>الخميس -العنف ضد المرأة - الواسطى</x:t>
  </x:si>
  <x:si>
    <x:t>السبت -جنح مستأنفة - ببا</x:t>
  </x:si>
  <x:si>
    <x:t>السبت -جنح مباني - ببا</x:t>
  </x:si>
  <x:si>
    <x:t>السبت -العنف ضد المرأة - ببا</x:t>
  </x:si>
  <x:si>
    <x:t>الاحد -جنح مستأنفة - ببا</x:t>
  </x:si>
  <x:si>
    <x:t>الاثنين -جنح مستأنفة - ببا</x:t>
  </x:si>
  <x:si>
    <x:t>السبت -جنح مستأنفة - الفشن</x:t>
  </x:si>
  <x:si>
    <x:t>السبت -جنح مباني - الفشن</x:t>
  </x:si>
  <x:si>
    <x:t>الاحد -جنح مستأنفة - الفشن</x:t>
  </x:si>
  <x:si>
    <x:t>الاثنين -جنح مستأنفة - الفشن</x:t>
  </x:si>
  <x:si>
    <x:t>الاثنين -جنح بيئة - الفشن</x:t>
  </x:si>
  <x:si>
    <x:t>الثلاثاء -جنح مستأنفة - سمسطا</x:t>
  </x:si>
  <x:si>
    <x:t>الثلاثاء -جنح مباني - سمسطا</x:t>
  </x:si>
  <x:si>
    <x:t>الأربعاء -جنح مستأنفة - سمسطا</x:t>
  </x:si>
  <x:si>
    <x:t>الخميس -جنح مستأنفة - سمسطا</x:t>
  </x:si>
  <x:si>
    <x:t>الخميس -لجنة الاعفاء من الرسوم القضائية - سمسطا</x:t>
  </x:si>
  <x:si>
    <x:t>السبت - عمال</x:t>
  </x:si>
  <x:si>
    <x:t>السبت - تأمينات</x:t>
  </x:si>
  <x:si>
    <x:t>الاحد - عمال</x:t>
  </x:si>
  <x:si>
    <x:t>الاحد - تأمينات</x:t>
  </x:si>
  <x:si>
    <x:t>الاثنين - جنح عمال</x:t>
  </x:si>
  <x:si>
    <x:t>الثلاثاء - عمال</x:t>
  </x:si>
  <x:si>
    <x:t>الثلاثاء - تأمينات</x:t>
  </x:si>
  <x:si>
    <x:t>الأربعاء - عمال</x:t>
  </x:si>
  <x:si>
    <x:t>الأربعاء - تأمينات</x:t>
  </x:si>
  <x:si>
    <x:t>الخميس - جنح عمال</x:t>
  </x:si>
  <x:si>
    <x:t>السبت -جنح ومخالفات - بندر - د1</x:t>
  </x:si>
  <x:si>
    <x:t>السبت -قضايا العنف ضد المرأة - بندر - د1</x:t>
  </x:si>
  <x:si>
    <x:t>السبت -مباني واملاك الدولة - بندر - د1</x:t>
  </x:si>
  <x:si>
    <x:t>مباني واملاك الدولة</x:t>
  </x:si>
  <x:si>
    <x:t>السبت -جنح ومخالفات - بندر - د2</x:t>
  </x:si>
  <x:si>
    <x:t>السبت -القضايا الماسة بامن البلاد - بندر - د2</x:t>
  </x:si>
  <x:si>
    <x:t>القضايا الماسة بامن البلاد</x:t>
  </x:si>
  <x:si>
    <x:t>الاثنين -جنح ومخالفات - مركز - د2</x:t>
  </x:si>
  <x:si>
    <x:t>الاثنين -جنح البيئة - مركز - د2</x:t>
  </x:si>
  <x:si>
    <x:t>الاثنين -قضايا العنف ضد المرأة - مركز - د2</x:t>
  </x:si>
  <x:si>
    <x:t>الثلاثاء -جنح ومخالفات - بندر - د3</x:t>
  </x:si>
  <x:si>
    <x:t>الثلاثاء -جنح البيئة - بندر - د3</x:t>
  </x:si>
  <x:si>
    <x:t>الأربعاء -جنح ومخالفات - بندر - د4</x:t>
  </x:si>
  <x:si>
    <x:t>السبت -جنح ومخالفات - مركز - د1</x:t>
  </x:si>
  <x:si>
    <x:t>الثلاثاء -جنح ومخالفات - مركز - د2</x:t>
  </x:si>
  <x:si>
    <x:t>الثلاثاء -مباني واملاك الدولة - مركز - د2</x:t>
  </x:si>
  <x:si>
    <x:t>الخميس -جنح ومخالفات - مركز - د2</x:t>
  </x:si>
  <x:si>
    <x:t>الثلاثاء -جنح ومخالفات - مركز - د3</x:t>
  </x:si>
  <x:si>
    <x:t>الخميس -جنح ومخالفات - مركز - د3</x:t>
  </x:si>
  <x:si>
    <x:t>الخميس -جنح المرور - مركز - د3</x:t>
  </x:si>
  <x:si>
    <x:t>السبت -جنح ومخالفات - الواسطى - د1</x:t>
  </x:si>
  <x:si>
    <x:t>الاثنين -مباني واملاك الدولة - الواسطى - د1</x:t>
  </x:si>
  <x:si>
    <x:t>الثلاثاء -جنح ومخالفات - الواسطى - د2</x:t>
  </x:si>
  <x:si>
    <x:t>الثلاثاء -قضايا العنف ضد المرأة - الواسطى - د2</x:t>
  </x:si>
  <x:si>
    <x:t>الثلاثاء -جنح المرور - الواسطى - د2</x:t>
  </x:si>
  <x:si>
    <x:t>الخميس -جنح ومخالفات - الواسطى - د2</x:t>
  </x:si>
  <x:si>
    <x:t>الأربعاء -جنح ومخالفات - الواسطى - د3</x:t>
  </x:si>
  <x:si>
    <x:t>الأربعاء -جنح البيئة - الواسطى - د3</x:t>
  </x:si>
  <x:si>
    <x:t>الخميس -جنح ومخالفات - الواسطى - د3</x:t>
  </x:si>
  <x:si>
    <x:t>السبت -جنح ومخالفات - ناصر - د1</x:t>
  </x:si>
  <x:si>
    <x:t>السبت -قضايا العنف ضد المرأة - ناصر - د1</x:t>
  </x:si>
  <x:si>
    <x:t>الاثنين -جنح ومخالفات - ناصر - د1</x:t>
  </x:si>
  <x:si>
    <x:t>الاثنين -جنح المرور - ناصر - د1</x:t>
  </x:si>
  <x:si>
    <x:t>الأربعاء -جنح ومخالفات - ناصر - د2</x:t>
  </x:si>
  <x:si>
    <x:t>الأربعاء -مباني واملاك الدولة - ناصر - د2</x:t>
  </x:si>
  <x:si>
    <x:t>الخميس -جنح ومخالفات - ناصر - د2</x:t>
  </x:si>
  <x:si>
    <x:t>الخميس -جنح البيئة - ناصر - د2</x:t>
  </x:si>
  <x:si>
    <x:t>السبت -جنح ومخالفات - اهناسيا - د1</x:t>
  </x:si>
  <x:si>
    <x:t>الاحد -جنح ومخالفات - اهناسيا - د1</x:t>
  </x:si>
  <x:si>
    <x:t>الاحد -جنح المرور - اهناسيا - د1</x:t>
  </x:si>
  <x:si>
    <x:t>الاحد -قضايا العنف ضد المرأة - اهناسيا - د1</x:t>
  </x:si>
  <x:si>
    <x:t>الثلاثاء -جنح ومخالفات - اهناسيا - د2</x:t>
  </x:si>
  <x:si>
    <x:t>الأربعاء -جنح ومخالفات - اهناسيا - د2</x:t>
  </x:si>
  <x:si>
    <x:t>الأربعاء -جنح البيئة - اهناسيا - د2</x:t>
  </x:si>
  <x:si>
    <x:t>الأربعاء -مباني واملاك الدولة - ببا - د2</x:t>
  </x:si>
  <x:si>
    <x:t>السبت -جنح ومخالفات - ببا - د1</x:t>
  </x:si>
  <x:si>
    <x:t>السبت -مباني واملاك الدولة - ببا - د1</x:t>
  </x:si>
  <x:si>
    <x:t>السبت -جنح البيئة - ببا - د1</x:t>
  </x:si>
  <x:si>
    <x:t>الاثنين -جنح ومخالفات - ببا - د1</x:t>
  </x:si>
  <x:si>
    <x:t>الاثنين -قضايا العنف ضد المرأة - ببا - د1</x:t>
  </x:si>
  <x:si>
    <x:t>الثلاثاء -جنح ومخالفات - ببا - د2</x:t>
  </x:si>
  <x:si>
    <x:t>الخميس -جنح ومخالفات - ببا - د2</x:t>
  </x:si>
  <x:si>
    <x:t>الخميس -جنح المرور - ببا - د2</x:t>
  </x:si>
  <x:si>
    <x:t>الأربعاء -جنح ومخالفات - ببا - د2</x:t>
  </x:si>
  <x:si>
    <x:t>السبت -جنح ومخالفات - الفشن - د1</x:t>
  </x:si>
  <x:si>
    <x:t>السبت -جنح المرور - الفشن - د1</x:t>
  </x:si>
  <x:si>
    <x:t>السبت -قضايا العنف ضد المرأة - الفشن - د1</x:t>
  </x:si>
  <x:si>
    <x:t>الاحد -جنح ومخالفات - الفشن - د1</x:t>
  </x:si>
  <x:si>
    <x:t>الاحد -جنح البيئة - الفشن - د1</x:t>
  </x:si>
  <x:si>
    <x:t>الاحد -جنح ومخالفات - الفشن - د2</x:t>
  </x:si>
  <x:si>
    <x:t>الاثنين -جنح ومخالفات - الفشن - د2</x:t>
  </x:si>
  <x:si>
    <x:t>الثلاثاء -جنح ومخالفات - الفشن - د3</x:t>
  </x:si>
  <x:si>
    <x:t>الثلاثاء -مباني واملاك الدولة - الفشن - د3</x:t>
  </x:si>
  <x:si>
    <x:t>الخميس -جنح ومخالفات - الفشن - د3</x:t>
  </x:si>
  <x:si>
    <x:t>السبت -جنح ومخالفات - سمسطا - د1</x:t>
  </x:si>
  <x:si>
    <x:t>السبت -جنح البيئة - سمسطا - د1</x:t>
  </x:si>
  <x:si>
    <x:t>الاحد -جنح ومخالفات - سمسطا - د1</x:t>
  </x:si>
  <x:si>
    <x:t>الاحد -جنح المرور - سمسطا - د1</x:t>
  </x:si>
  <x:si>
    <x:t>الاحد -قضايا العنف ضد المرأة - سمسطا - د1</x:t>
  </x:si>
  <x:si>
    <x:t>الثلاثاء -جنح ومخالفات - سمسطا - د2</x:t>
  </x:si>
  <x:si>
    <x:t>الأربعاء -جنح ومخالفات - سمسطا - د2</x:t>
  </x:si>
  <x:si>
    <x:t>الأربعاء -مباني واملاك الدولة - سمسطا - د2</x:t>
  </x:si>
  <x:si>
    <x:t>د/1 بندر مدني جزئي (الأحد)</x:t>
  </x:si>
  <x:si>
    <x:t>د/1 بندر مدني جزئي (الأثنين)</x:t>
  </x:si>
  <x:si>
    <x:t>د/2 بندر مدني جزئي (الأحد)</x:t>
  </x:si>
  <x:si>
    <x:t>د/3 بندر مدني جزئي (الأربعاء)</x:t>
  </x:si>
  <x:si>
    <x:t>د/3 بندر مدني حكومة (الخميس)</x:t>
  </x:si>
  <x:si>
    <x:t>د/4 بندر مدني جزئي (الثلاثاء)</x:t>
  </x:si>
  <x:si>
    <x:t>د/4 بندر مدني مستعجل بندر ومركز (الخميس)</x:t>
  </x:si>
  <x:si>
    <x:t>د/1 مركز مدني جزئي (الأحد)</x:t>
  </x:si>
  <x:si>
    <x:t>د/1 مركز مدني جزئي (الأثنين)</x:t>
  </x:si>
  <x:si>
    <x:t>د/2 مركز مدني جزئي (الأربعاء)</x:t>
  </x:si>
  <x:si>
    <x:t>د/3 مركز مدني جزئي (الأربعاء)</x:t>
  </x:si>
  <x:si>
    <x:t>د/1 الواسطي مدني جزئي (الأحد)</x:t>
  </x:si>
  <x:si>
    <x:t>د/2 الواسطى مدني جزئي ومستعجل (الأربعاء)</x:t>
  </x:si>
  <x:si>
    <x:t>د/3 الواسطي مدني جزئي (الثلاثاء)</x:t>
  </x:si>
  <x:si>
    <x:t>د/1 ناصر مدني جزئي (الأحد)</x:t>
  </x:si>
  <x:si>
    <x:t>د/2 ناصر مدني جزئي ومستعجل (الثلاثاء)</x:t>
  </x:si>
  <x:si>
    <x:t>د/1 إهناسيا مدني جزئي (الأثنين)</x:t>
  </x:si>
  <x:si>
    <x:t>د/2 اهناسيا مدني جزئي ومستعجل (الخميس)</x:t>
  </x:si>
  <x:si>
    <x:t>د/1 ببا مدني جزئي (الأحد)</x:t>
  </x:si>
  <x:si>
    <x:t>د/2 ببا مدني جزئي ومستعجل (الأربعاء)</x:t>
  </x:si>
  <x:si>
    <x:t>د/3 ببا مدني جزئي (الثلاثاء)</x:t>
  </x:si>
  <x:si>
    <x:t>د/1 الفشن مدني جزئي (الأثنين)</x:t>
  </x:si>
  <x:si>
    <x:t>د/2 الفشن مدني جزئي (السبت)</x:t>
  </x:si>
  <x:si>
    <x:t>د/3 الفشن مدني جزئي ومستعجل (الأربعاء)</x:t>
  </x:si>
  <x:si>
    <x:t>د/1 سمسطا مدني جزئي ومستعجل (الأثنين)</x:t>
  </x:si>
  <x:si>
    <x:t>د/2 سمسطا مدني جزئي (الخميس)</x:t>
  </x:si>
  <x:si>
    <x:t>محمد فرحات عبد العظيم عبد الجواد</x:t>
  </x:si>
  <x:si>
    <x:t>1</x:t>
  </x:si>
  <x:si>
    <x:t>أ</x:t>
  </x:si>
  <x:si>
    <x:t>رئيس الدائرة</x:t>
  </x:si>
  <x:si>
    <x:t>محمود محمد مصطفى ابوزيد</x:t>
  </x:si>
  <x:si>
    <x:t>عضو يمين</x:t>
  </x:si>
  <x:si>
    <x:t>علاء الدين طه احمد محمد</x:t>
  </x:si>
  <x:si>
    <x:t>2</x:t>
  </x:si>
  <x:si>
    <x:t>عضو يسار</x:t>
  </x:si>
  <x:si>
    <x:t>محمود محمد السيد عبدالعزيز</x:t>
  </x:si>
  <x:si>
    <x:t>3</x:t>
  </x:si>
  <x:si>
    <x:t>عضو يسار اليسار</x:t>
  </x:si>
  <x:si>
    <x:t>هيثم اسماعيل خليل جمعه</x:t>
  </x:si>
  <x:si>
    <x:t>احمد عبدالفتاح إبراهيم احمد الفقي</x:t>
  </x:si>
  <x:si>
    <x:t>محمد سامح حلمي مرسي</x:t>
  </x:si>
  <x:si>
    <x:t>5</x:t>
  </x:si>
  <x:si>
    <x:t>محمد اشرف محمد مخلوف</x:t>
  </x:si>
  <x:si>
    <x:t>7</x:t>
  </x:si>
  <x:si>
    <x:t>احمد ربيع محمد محمد عمر</x:t>
  </x:si>
  <x:si>
    <x:t>8</x:t>
  </x:si>
  <x:si>
    <x:t>محمد مجدي حسن توفيق مفتاح</x:t>
  </x:si>
  <x:si>
    <x:t>9</x:t>
  </x:si>
  <x:si>
    <x:t>مصطفى محمود ادريس محمود صفر</x:t>
  </x:si>
  <x:si>
    <x:t>هيثم عبدالحميد عبدالله</x:t>
  </x:si>
  <x:si>
    <x:t>11</x:t>
  </x:si>
  <x:si>
    <x:t>محمد رضا عبدالسلام عبدالله</x:t>
  </x:si>
  <x:si>
    <x:t>احمد إسماعيل احمد عبدالواحد</x:t>
  </x:si>
  <x:si>
    <x:t>13</x:t>
  </x:si>
  <x:si>
    <x:t>محمد جمال صابر حمزة الحمزاوي</x:t>
  </x:si>
  <x:si>
    <x:t>14</x:t>
  </x:si>
  <x:si>
    <x:t>محمد عبدالفتاح سيد عبدالرحمن ادريس</x:t>
  </x:si>
  <x:si>
    <x:t>15</x:t>
  </x:si>
  <x:si>
    <x:t>16</x:t>
  </x:si>
  <x:si>
    <x:t>ثروت حامد محمد عبدالجواد</x:t>
  </x:si>
  <x:si>
    <x:t>17</x:t>
  </x:si>
  <x:si>
    <x:t>محمد فايق عبدالحميد علي</x:t>
  </x:si>
  <x:si>
    <x:t>18</x:t>
  </x:si>
  <x:si>
    <x:t>رائد محمد ربيع جاد</x:t>
  </x:si>
  <x:si>
    <x:t>19</x:t>
  </x:si>
  <x:si>
    <x:t>احمد فراج جابر زيدان</x:t>
  </x:si>
  <x:si>
    <x:t>احمد حسام الدين حمزة محمد</x:t>
  </x:si>
  <x:si>
    <x:t>21</x:t>
  </x:si>
  <x:si>
    <x:t>احمد علي نجاتي احمد</x:t>
  </x:si>
  <x:si>
    <x:t>22</x:t>
  </x:si>
  <x:si>
    <x:t>محمود حسن شحاتة محمد</x:t>
  </x:si>
  <x:si>
    <x:t>23</x:t>
  </x:si>
  <x:si>
    <x:t>محمد فتحي محمد علي عرايس</x:t>
  </x:si>
  <x:si>
    <x:t>24</x:t>
  </x:si>
  <x:si>
    <x:t>محمد سيد درويش متولي القطيري</x:t>
  </x:si>
  <x:si>
    <x:t>25</x:t>
  </x:si>
  <x:si>
    <x:t>مروه إيهاب سيد حافظ</x:t>
  </x:si>
  <x:si>
    <x:t>مصطفى محمود عبد الرحمن احمد</x:t>
  </x:si>
  <x:si>
    <x:t>27</x:t>
  </x:si>
  <x:si>
    <x:t>شادى عصمت حسن محمد</x:t>
  </x:si>
  <x:si>
    <x:t>28</x:t>
  </x:si>
  <x:si>
    <x:t>خالد محمد شاكر عبد الرحمن</x:t>
  </x:si>
  <x:si>
    <x:t>29</x:t>
  </x:si>
  <x:si>
    <x:t>حازم محمد عبدالمحسن محمد شيحه</x:t>
  </x:si>
  <x:si>
    <x:t>52</x:t>
  </x:si>
  <x:si>
    <x:t>احمد يسن حسن سليمان</x:t>
  </x:si>
  <x:si>
    <x:t>30</x:t>
  </x:si>
  <x:si>
    <x:t>ريهام حسن ابراهيم حسن</x:t>
  </x:si>
  <x:si>
    <x:t>31</x:t>
  </x:si>
  <x:si>
    <x:t>احمد عبدالهادي محمد خليفة</x:t>
  </x:si>
  <x:si>
    <x:t>يوسف إبراهيم بكري عبدالمولى</x:t>
  </x:si>
  <x:si>
    <x:t>33</x:t>
  </x:si>
  <x:si>
    <x:t>ادهم إبراهيم سيد سليمان</x:t>
  </x:si>
  <x:si>
    <x:t>34</x:t>
  </x:si>
  <x:si>
    <x:t>أسامة عبدالرحمن عبدالمقصود</x:t>
  </x:si>
  <x:si>
    <x:t>35</x:t>
  </x:si>
  <x:si>
    <x:t>مصطفى محمود يوسف حبيب العادلى</x:t>
  </x:si>
  <x:si>
    <x:t>36</x:t>
  </x:si>
  <x:si>
    <x:t>احمد محمد ربيع احمد عبد الصالحين</x:t>
  </x:si>
  <x:si>
    <x:t>37</x:t>
  </x:si>
  <x:si>
    <x:t>طه رجب محمد فراج</x:t>
  </x:si>
  <x:si>
    <x:t>38</x:t>
  </x:si>
  <x:si>
    <x:t>سامية سيد عبدالغفار محمود</x:t>
  </x:si>
  <x:si>
    <x:t>ابراهيم مجدي زين العابدين محمد</x:t>
  </x:si>
  <x:si>
    <x:t>40</x:t>
  </x:si>
  <x:si>
    <x:t>الحسينى جمال عبد العزيز عبد الغفار</x:t>
  </x:si>
  <x:si>
    <x:t>41</x:t>
  </x:si>
  <x:si>
    <x:t>احمد حسن احمد إبراهيم القاضي</x:t>
  </x:si>
  <x:si>
    <x:t>42</x:t>
  </x:si>
  <x:si>
    <x:t>عمر صلاح محمد زكى</x:t>
  </x:si>
  <x:si>
    <x:t>43</x:t>
  </x:si>
  <x:si>
    <x:t>حسن عاطف حسن عبدالجيد</x:t>
  </x:si>
  <x:si>
    <x:t>44</x:t>
  </x:si>
  <x:si>
    <x:t>محمد بكري عبدالله محمد</x:t>
  </x:si>
  <x:si>
    <x:t>45</x:t>
  </x:si>
  <x:si>
    <x:t>محمد مكرم صلاح الدين حسن</x:t>
  </x:si>
  <x:si>
    <x:t>46</x:t>
  </x:si>
  <x:si>
    <x:t>احمد عمرو عبدالفتاح حسن</x:t>
  </x:si>
  <x:si>
    <x:t>احمد محمد محسن محمد كامل</x:t>
  </x:si>
  <x:si>
    <x:t>51</x:t>
  </x:si>
  <x:si>
    <x:t>اسلام أسامة محمد احمد السيد</x:t>
  </x:si>
  <x:si>
    <x:t>48</x:t>
  </x:si>
  <x:si>
    <x:t>محمد حسن محمد دسوقي طلبة</x:t>
  </x:si>
  <x:si>
    <x:t>49</x:t>
  </x:si>
  <x:si>
    <x:t>عمرو البرنس عبدالفتاح حسين</x:t>
  </x:si>
  <x:si>
    <x:t>50</x:t>
  </x:si>
  <x:si>
    <x:t>سامح ربيع محمود عليان</x:t>
  </x:si>
  <x:si>
    <x:t>محمد اشرف احمد محمد إبراهيم</x:t>
  </x:si>
  <x:si>
    <x:t>خالد محمد بهجت محمود محمد عاشور</x:t>
  </x:si>
  <x:si>
    <x:t>55</x:t>
  </x:si>
  <x:si>
    <x:t>محمود عبدالمنعم حسين حسان</x:t>
  </x:si>
  <x:si>
    <x:t>56</x:t>
  </x:si>
  <x:si>
    <x:t>محمود رضا عبدالمعز محمد</x:t>
  </x:si>
  <x:si>
    <x:t>57</x:t>
  </x:si>
  <x:si>
    <x:t>محمد انس عبداللطيف محمود ابوالسعود</x:t>
  </x:si>
  <x:si>
    <x:t>58</x:t>
  </x:si>
  <x:si>
    <x:t>حاتم ربيع محمود عليان</x:t>
  </x:si>
  <x:si>
    <x:t>مصطفى ممدوح ابوهشيمة عبدالعزيز</x:t>
  </x:si>
  <x:si>
    <x:t>60</x:t>
  </x:si>
  <x:si>
    <x:t>احمد عبدالناصر محمود عبدالعليم</x:t>
  </x:si>
  <x:si>
    <x:t>61</x:t>
  </x:si>
  <x:si>
    <x:t>مينا توما يعقوب  عبدالسيد</x:t>
  </x:si>
  <x:si>
    <x:t>62</x:t>
  </x:si>
  <x:si>
    <x:t>طارق مدحت جلال حسن</x:t>
  </x:si>
  <x:si>
    <x:t>63</x:t>
  </x:si>
  <x:si>
    <x:t>مؤمن سعيد عادل حامد</x:t>
  </x:si>
  <x:si>
    <x:t>64</x:t>
  </x:si>
  <x:si>
    <x:t>احمد حسن احمد عبدالرحيم</x:t>
  </x:si>
  <x:si>
    <x:t>65</x:t>
  </x:si>
  <x:si>
    <x:t>بدر الدين أسامة بدري مروان</x:t>
  </x:si>
  <x:si>
    <x:t>احمد رمضان عبدالرحمن محمد</x:t>
  </x:si>
  <x:si>
    <x:t>67</x:t>
  </x:si>
  <x:si>
    <x:t>اسلام محمد سيد عبدالقادر</x:t>
  </x:si>
  <x:si>
    <x:t>77</x:t>
  </x:si>
  <x:si>
    <x:t>محمد فخري راشد إبراهيم</x:t>
  </x:si>
  <x:si>
    <x:t>68</x:t>
  </x:si>
  <x:si>
    <x:t>احمد فاروق عبدالقادر عبدالعليم</x:t>
  </x:si>
  <x:si>
    <x:t>69</x:t>
  </x:si>
  <x:si>
    <x:t>محمد فاروق ورداني صالح</x:t>
  </x:si>
  <x:si>
    <x:t>70</x:t>
  </x:si>
  <x:si>
    <x:t>محمود زكي عبدالمنعم سلامة</x:t>
  </x:si>
  <x:si>
    <x:t>71</x:t>
  </x:si>
  <x:si>
    <x:t>احمد رمضان عبدالله صابر</x:t>
  </x:si>
  <x:si>
    <x:t>72</x:t>
  </x:si>
  <x:si>
    <x:t>احمد مصطفى ابوضيف سيد</x:t>
  </x:si>
  <x:si>
    <x:t>73</x:t>
  </x:si>
  <x:si>
    <x:t>عمرو احمد ممدوح عوض الله أنيس</x:t>
  </x:si>
  <x:si>
    <x:t>74</x:t>
  </x:si>
  <x:si>
    <x:t>محمود حسن قرني حسن</x:t>
  </x:si>
  <x:si>
    <x:t>75</x:t>
  </x:si>
  <x:si>
    <x:t>محمد احمد سمير عبدالعزيز</x:t>
  </x:si>
  <x:si>
    <x:t>76</x:t>
  </x:si>
  <x:si>
    <x:t>عمرو احمد محمد احمد سليمان</x:t>
  </x:si>
  <x:si>
    <x:t>78</x:t>
  </x:si>
  <x:si>
    <x:t>هند محمد ابراهيم ابوسيف</x:t>
  </x:si>
  <x:si>
    <x:t>79</x:t>
  </x:si>
  <x:si>
    <x:t>علاء الدين عصام عبد العزيز علي</x:t>
  </x:si>
  <x:si>
    <x:t>80</x:t>
  </x:si>
  <x:si>
    <x:t>احمد محمد محمود فؤاد</x:t>
  </x:si>
  <x:si>
    <x:t>81</x:t>
  </x:si>
  <x:si>
    <x:t>رامز جمال فخري جميل</x:t>
  </x:si>
  <x:si>
    <x:t>82</x:t>
  </x:si>
  <x:si>
    <x:t>بسمة علي يحيي عبدالمجيد اليماني</x:t>
  </x:si>
  <x:si>
    <x:t>83</x:t>
  </x:si>
  <x:si>
    <x:t>بولا نسيم مرقص يعقزب</x:t>
  </x:si>
  <x:si>
    <x:t>84</x:t>
  </x:si>
  <x:si>
    <x:t>احمد عبد العزيز فكرى عبد العزيز</x:t>
  </x:si>
  <x:si>
    <x:t>85</x:t>
  </x:si>
  <x:si>
    <x:t>احمد محمد عبد القوى حسين</x:t>
  </x:si>
  <x:si>
    <x:t>86</x:t>
  </x:si>
  <x:si>
    <x:t>احمد عبد الرؤف ابو العطا عبد الرؤف</x:t>
  </x:si>
  <x:si>
    <x:t>87</x:t>
  </x:si>
  <x:si>
    <x:t>محمود مسامح محمود عثمان</x:t>
  </x:si>
  <x:si>
    <x:t>88</x:t>
  </x:si>
  <x:si>
    <x:t>حازم حسن احمد ابراهيم</x:t>
  </x:si>
  <x:si>
    <x:t>89</x:t>
  </x:si>
  <x:si>
    <x:t>عصام قرنى محمود عيسى</x:t>
  </x:si>
  <x:si>
    <x:t>90</x:t>
  </x:si>
  <x:si>
    <x:t>احمد سعيد محمد سعيد</x:t>
  </x:si>
  <x:si>
    <x:t>91</x:t>
  </x:si>
  <x:si>
    <x:t>محمد جمال نصار عبد الباقى</x:t>
  </x:si>
  <x:si>
    <x:t>92</x:t>
  </x:si>
  <x:si>
    <x:t>احمد رافت عبد التواب عبد العزيز جاد</x:t>
  </x:si>
  <x:si>
    <x:t>93</x:t>
  </x:si>
  <x:si>
    <x:t>محمود سيد زكى سكر</x:t>
  </x:si>
  <x:si>
    <x:t>94</x:t>
  </x:si>
  <x:si>
    <x:t>اسلام خميس على مجاور عمار</x:t>
  </x:si>
  <x:si>
    <x:t>95</x:t>
  </x:si>
  <x:si>
    <x:t>محمود محمد ابراهيم عبد القادر</x:t>
  </x:si>
  <x:si>
    <x:t>96</x:t>
  </x:si>
  <x:si>
    <x:t>محمود عبد الحميد حمدى السيد منصور غيضان</x:t>
  </x:si>
  <x:si>
    <x:t>97</x:t>
  </x:si>
  <x:si>
    <x:t>مصطفى عبد الفتاح سيد سعد سرور</x:t>
  </x:si>
  <x:si>
    <x:t>98</x:t>
  </x:si>
  <x:si>
    <x:t>محمد احمد شوقى عبد العظيم سيد</x:t>
  </x:si>
  <x:si>
    <x:t>99</x:t>
  </x:si>
  <x:si>
    <x:t>محمد سلامه عطيه السمان</x:t>
  </x:si>
  <x:si>
    <x:t>100</x:t>
  </x:si>
  <x:si>
    <x:t>مصطفى محمد سيد محمد عطوه</x:t>
  </x:si>
  <x:si>
    <x:t>101</x:t>
  </x:si>
  <x:si>
    <x:t>مصطفى عمر صالح حسين</x:t>
  </x:si>
  <x:si>
    <x:t>حسام عمر توفيق عبد الغنى</x:t>
  </x:si>
  <x:si>
    <x:t>103</x:t>
  </x:si>
  <x:si>
    <x:t>احمد عادل احمد عيسى</x:t>
  </x:si>
  <x:si>
    <x:t>104</x:t>
  </x:si>
  <x:si>
    <x:t>احمد عصام ابراهيم على</x:t>
  </x:si>
  <x:si>
    <x:t>105</x:t>
  </x:si>
  <x:si>
    <x:t>محمد حافظ عباس امين</x:t>
  </x:si>
  <x:si>
    <x:t>106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</x:si>
</x:sst>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FFFFFF"/>
      <x:name val="Segoe UI"/>
      <x:family val="2"/>
    </x:font>
    <x:font>
      <x:b/>
      <x:vertAlign val="baseline"/>
      <x:sz val="10"/>
      <x:color rgb="FF1E3A8A"/>
      <x:name val="Segoe UI"/>
      <x:family val="2"/>
    </x:font>
    <x:font>
      <x:b/>
      <x:vertAlign val="baseline"/>
      <x:sz val="10"/>
      <x:color rgb="FF92400E"/>
      <x:name val="Segoe UI"/>
      <x:family val="2"/>
    </x:font>
    <x:font>
      <x:b/>
      <x:vertAlign val="baseline"/>
      <x:sz val="10"/>
      <x:color rgb="FF3730A3"/>
      <x:name val="Segoe UI"/>
      <x:family val="2"/>
    </x:font>
    <x:font>
      <x:b/>
      <x:vertAlign val="baseline"/>
      <x:sz val="10"/>
      <x:color rgb="FF115E59"/>
      <x:name val="Segoe UI"/>
      <x:family val="2"/>
    </x:font>
    <x:font>
      <x:vertAlign val="baseline"/>
      <x:sz val="9.5"/>
      <x:color rgb="FF000000"/>
      <x:name val="Segoe UI"/>
      <x:family val="2"/>
    </x:font>
  </x:fonts>
  <x:fills count="10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B45309"/>
      </x:patternFill>
    </x:fill>
    <x:fill>
      <x:patternFill patternType="solid">
        <x:fgColor rgb="FF4338CA"/>
      </x:patternFill>
    </x:fill>
    <x:fill>
      <x:patternFill patternType="solid">
        <x:fgColor rgb="FF0F766E"/>
      </x:patternFill>
    </x:fill>
    <x:fill>
      <x:patternFill patternType="solid">
        <x:fgColor rgb="FFDBEAFE"/>
      </x:patternFill>
    </x:fill>
    <x:fill>
      <x:patternFill patternType="solid">
        <x:fgColor rgb="FFFEF3C7"/>
      </x:patternFill>
    </x:fill>
    <x:fill>
      <x:patternFill patternType="solid">
        <x:fgColor rgb="FFE0E7FF"/>
      </x:patternFill>
    </x:fill>
    <x:fill>
      <x:patternFill patternType="solid">
        <x:fgColor rgb="FFCCFBF1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medium">
        <x:color rgb="FF1E3A8A"/>
      </x:left>
      <x:right style="none">
        <x:color rgb="FF000000"/>
      </x:right>
      <x:top style="medium">
        <x:color rgb="FF1E3A8A"/>
      </x:top>
      <x:bottom style="medium">
        <x:color rgb="FF1E3A8A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rgb="FF1E3A8A"/>
      </x:top>
      <x:bottom style="medium">
        <x:color rgb="FF1E3A8A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1E3A8A"/>
      </x:right>
      <x:top style="medium">
        <x:color rgb="FF1E3A8A"/>
      </x:top>
      <x:bottom style="medium">
        <x:color rgb="FF1E3A8A"/>
      </x:bottom>
      <x:diagonal style="none">
        <x:color rgb="FF000000"/>
      </x:diagonal>
    </x:border>
    <x:border diagonalUp="0" diagonalDown="0">
      <x:left style="medium">
        <x:color rgb="FFB45309"/>
      </x:left>
      <x:right style="none">
        <x:color rgb="FF000000"/>
      </x:right>
      <x:top style="medium">
        <x:color rgb="FFB45309"/>
      </x:top>
      <x:bottom style="medium">
        <x:color rgb="FFB45309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rgb="FFB45309"/>
      </x:top>
      <x:bottom style="medium">
        <x:color rgb="FFB45309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B45309"/>
      </x:right>
      <x:top style="medium">
        <x:color rgb="FFB45309"/>
      </x:top>
      <x:bottom style="medium">
        <x:color rgb="FFB45309"/>
      </x:bottom>
      <x:diagonal style="none">
        <x:color rgb="FF000000"/>
      </x:diagonal>
    </x:border>
    <x:border diagonalUp="0" diagonalDown="0">
      <x:left style="medium">
        <x:color rgb="FF4338CA"/>
      </x:left>
      <x:right style="none">
        <x:color rgb="FF000000"/>
      </x:right>
      <x:top style="medium">
        <x:color rgb="FF4338CA"/>
      </x:top>
      <x:bottom style="medium">
        <x:color rgb="FF4338CA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rgb="FF4338CA"/>
      </x:top>
      <x:bottom style="medium">
        <x:color rgb="FF4338CA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4338CA"/>
      </x:right>
      <x:top style="medium">
        <x:color rgb="FF4338CA"/>
      </x:top>
      <x:bottom style="medium">
        <x:color rgb="FF4338CA"/>
      </x:bottom>
      <x:diagonal style="none">
        <x:color rgb="FF000000"/>
      </x:diagonal>
    </x:border>
    <x:border diagonalUp="0" diagonalDown="0">
      <x:left style="medium">
        <x:color rgb="FF0F766E"/>
      </x:left>
      <x:right style="none">
        <x:color rgb="FF000000"/>
      </x:right>
      <x:top style="medium">
        <x:color rgb="FF0F766E"/>
      </x:top>
      <x:bottom style="medium">
        <x:color rgb="FF0F766E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medium">
        <x:color rgb="FF0F766E"/>
      </x:top>
      <x:bottom style="medium">
        <x:color rgb="FF0F766E"/>
      </x:bottom>
      <x:diagonal style="none">
        <x:color rgb="FF000000"/>
      </x:diagonal>
    </x:border>
    <x:border diagonalUp="0" diagonalDown="0">
      <x:left style="none">
        <x:color rgb="FF000000"/>
      </x:left>
      <x:right style="medium">
        <x:color rgb="FF0F766E"/>
      </x:right>
      <x:top style="medium">
        <x:color rgb="FF0F766E"/>
      </x:top>
      <x:bottom style="medium">
        <x:color rgb="FF0F766E"/>
      </x:bottom>
      <x:diagonal style="none">
        <x:color rgb="FF000000"/>
      </x:diagonal>
    </x:border>
    <x:border diagonalUp="0" diagonalDown="0"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  <x:diagonal style="none">
        <x:color rgb="FF000000"/>
      </x:diagonal>
    </x:border>
    <x:border diagonalUp="0" diagonalDown="0"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  <x:diagonal style="none">
        <x:color rgb="FF000000"/>
      </x:diagonal>
    </x:border>
  </x:borders>
  <x:cellStyleXfs count="18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6" applyNumberFormat="1" applyFill="0" applyBorder="1" applyAlignment="1" applyProtection="1">
      <x:protection locked="1" hidden="0"/>
    </x:xf>
    <x:xf numFmtId="0" fontId="1" fillId="4" borderId="7" applyNumberFormat="1" applyFill="0" applyBorder="1" applyAlignment="1" applyProtection="1">
      <x:protection locked="1" hidden="0"/>
    </x:xf>
    <x:xf numFmtId="0" fontId="1" fillId="4" borderId="8" applyNumberFormat="1" applyFill="0" applyBorder="1" applyAlignment="1" applyProtection="1">
      <x:protection locked="1" hidden="0"/>
    </x:xf>
    <x:xf numFmtId="0" fontId="1" fillId="4" borderId="9" applyNumberFormat="1" applyFill="0" applyBorder="1" applyAlignment="1" applyProtection="1">
      <x:protection locked="1" hidden="0"/>
    </x:xf>
    <x:xf numFmtId="0" fontId="1" fillId="5" borderId="10" applyNumberFormat="1" applyFill="0" applyBorder="1" applyAlignment="1" applyProtection="1">
      <x:protection locked="1" hidden="0"/>
    </x:xf>
    <x:xf numFmtId="0" fontId="1" fillId="5" borderId="11" applyNumberFormat="1" applyFill="0" applyBorder="1" applyAlignment="1" applyProtection="1">
      <x:protection locked="1" hidden="0"/>
    </x:xf>
    <x:xf numFmtId="0" fontId="1" fillId="5" borderId="12" applyNumberFormat="1" applyFill="0" applyBorder="1" applyAlignment="1" applyProtection="1">
      <x:protection locked="1" hidden="0"/>
    </x:xf>
    <x:xf numFmtId="0" fontId="2" fillId="6" borderId="13" applyNumberFormat="1" applyFill="0" applyBorder="1" applyAlignment="1" applyProtection="1">
      <x:protection locked="1" hidden="0"/>
    </x:xf>
    <x:xf numFmtId="0" fontId="3" fillId="7" borderId="13" applyNumberFormat="1" applyFill="0" applyBorder="1" applyAlignment="1" applyProtection="1">
      <x:protection locked="1" hidden="0"/>
    </x:xf>
    <x:xf numFmtId="0" fontId="4" fillId="8" borderId="13" applyNumberFormat="1" applyFill="0" applyBorder="1" applyAlignment="1" applyProtection="1">
      <x:protection locked="1" hidden="0"/>
    </x:xf>
    <x:xf numFmtId="0" fontId="5" fillId="9" borderId="13" applyNumberFormat="1" applyFill="0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</x:cellStyleXfs>
  <x:cellXfs count="1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1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1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6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7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8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9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14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M216"/>
  <x:sheetViews>
    <x:sheetView rightToLeft="1" workbookViewId="0"/>
  </x:sheetViews>
  <x:sheetFormatPr defaultRowHeight="15"/>
  <x:cols>
    <x:col min="1" max="1" width="14.710625" style="0" customWidth="1"/>
    <x:col min="2" max="2" width="34.710625" style="0" customWidth="1"/>
    <x:col min="3" max="3" width="28.710625" style="0" customWidth="1"/>
    <x:col min="4" max="4" width="18.710625" style="0" customWidth="1"/>
    <x:col min="5" max="5" width="12.710625" style="0" customWidth="1"/>
    <x:col min="6" max="6" width="34.710625" style="0" customWidth="1"/>
    <x:col min="7" max="7" width="14.710625" style="0" customWidth="1"/>
    <x:col min="8" max="8" width="18.710625" style="0" customWidth="1"/>
    <x:col min="9" max="9" width="14.710625" style="0" customWidth="1"/>
    <x:col min="10" max="10" width="36.710625" style="0" customWidth="1"/>
    <x:col min="11" max="11" width="24.710625" style="0" customWidth="1"/>
    <x:col min="12" max="13" width="14.710625" style="0" customWidth="1"/>
    <x:col min="14" max="14" width="28.710625" style="0" customWidth="1"/>
    <x:col min="15" max="15" width="24.710625" style="0" customWidth="1"/>
    <x:col min="16" max="16" width="18.710625" style="0" customWidth="1"/>
    <x:col min="17" max="17" width="14.710625" style="0" customWidth="1"/>
    <x:col min="18" max="18" width="34.710625" style="0" customWidth="1"/>
    <x:col min="19" max="19" width="12.710625" style="0" customWidth="1"/>
    <x:col min="20" max="20" width="10.710625" style="0" customWidth="1"/>
    <x:col min="21" max="21" width="14.710625" style="0" customWidth="1"/>
    <x:col min="22" max="22" width="34.710625" style="0" customWidth="1"/>
    <x:col min="23" max="23" width="18.710625" style="0" customWidth="1"/>
    <x:col min="24" max="24" width="22.710625" style="0" customWidth="1"/>
    <x:col min="25" max="25" width="14.710625" style="0" customWidth="1"/>
    <x:col min="26" max="26" width="24.710625" style="0" customWidth="1"/>
    <x:col min="27" max="27" width="4.710625" style="0" customWidth="1"/>
    <x:col min="28" max="28" width="18.710625" style="0" customWidth="1"/>
    <x:col min="29" max="29" width="30.710625" style="0" customWidth="1"/>
    <x:col min="30" max="30" width="4.710625" style="0" customWidth="1"/>
    <x:col min="31" max="31" width="18.710625" style="0" customWidth="1"/>
    <x:col min="32" max="32" width="4.710625" style="0" customWidth="1"/>
    <x:col min="33" max="33" width="18.710625" style="0" customWidth="1"/>
    <x:col min="34" max="34" width="4.710625" style="0" customWidth="1"/>
    <x:col min="35" max="35" width="28.710625" style="0" customWidth="1"/>
    <x:col min="36" max="36" width="4.710625" style="0" customWidth="1"/>
    <x:col min="37" max="37" width="14.710625" style="0" customWidth="1"/>
    <x:col min="38" max="38" width="4.710625" style="0" customWidth="1"/>
    <x:col min="39" max="39" width="14.710625" style="0" customWidth="1"/>
  </x:cols>
  <x:sheetData>
    <x:row r="2" spans="1:39" ht="28" customHeight="1">
      <x:c r="A2" s="1" t="s">
        <x:v>0</x:v>
      </x:c>
      <x:c r="B2" s="2"/>
      <x:c r="C2" s="2"/>
      <x:c r="D2" s="2"/>
      <x:c r="E2" s="3"/>
      <x:c r="F2" s="4" t="s">
        <x:v>1</x:v>
      </x:c>
      <x:c r="G2" s="5"/>
      <x:c r="H2" s="5"/>
      <x:c r="I2" s="5"/>
      <x:c r="J2" s="5"/>
      <x:c r="K2" s="5"/>
      <x:c r="L2" s="5"/>
      <x:c r="M2" s="5"/>
      <x:c r="N2" s="5"/>
      <x:c r="O2" s="5"/>
      <x:c r="P2" s="6"/>
      <x:c r="Q2" s="7" t="s">
        <x:v>2</x:v>
      </x:c>
      <x:c r="R2" s="8"/>
      <x:c r="S2" s="8"/>
      <x:c r="T2" s="8"/>
      <x:c r="U2" s="8"/>
      <x:c r="V2" s="8"/>
      <x:c r="W2" s="8"/>
      <x:c r="X2" s="8"/>
      <x:c r="Y2" s="8"/>
      <x:c r="Z2" s="9"/>
      <x:c r="AB2" s="10" t="s">
        <x:v>3</x:v>
      </x:c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2"/>
    </x:row>
    <x:row r="4" spans="1:39" ht="26" customHeight="1">
      <x:c r="A4" s="13" t="s">
        <x:v>4</x:v>
      </x:c>
      <x:c r="B4" s="13" t="s">
        <x:v>5</x:v>
      </x:c>
      <x:c r="C4" s="13" t="s">
        <x:v>6</x:v>
      </x:c>
      <x:c r="D4" s="13" t="s">
        <x:v>7</x:v>
      </x:c>
      <x:c r="E4" s="13" t="s">
        <x:v>8</x:v>
      </x:c>
      <x:c r="F4" s="14" t="s">
        <x:v>9</x:v>
      </x:c>
      <x:c r="G4" s="14" t="s">
        <x:v>4</x:v>
      </x:c>
      <x:c r="H4" s="14" t="s">
        <x:v>10</x:v>
      </x:c>
      <x:c r="I4" s="14" t="s">
        <x:v>11</x:v>
      </x:c>
      <x:c r="J4" s="14" t="s">
        <x:v>12</x:v>
      </x:c>
      <x:c r="K4" s="14" t="s">
        <x:v>13</x:v>
      </x:c>
      <x:c r="L4" s="14" t="s">
        <x:v>14</x:v>
      </x:c>
      <x:c r="M4" s="14" t="s">
        <x:v>15</x:v>
      </x:c>
      <x:c r="N4" s="14" t="s">
        <x:v>16</x:v>
      </x:c>
      <x:c r="O4" s="14" t="s">
        <x:v>17</x:v>
      </x:c>
      <x:c r="P4" s="14" t="s">
        <x:v>18</x:v>
      </x:c>
      <x:c r="Q4" s="15" t="s">
        <x:v>19</x:v>
      </x:c>
      <x:c r="R4" s="15" t="s">
        <x:v>20</x:v>
      </x:c>
      <x:c r="S4" s="15" t="s">
        <x:v>21</x:v>
      </x:c>
      <x:c r="T4" s="15" t="s">
        <x:v>22</x:v>
      </x:c>
      <x:c r="U4" s="15" t="s">
        <x:v>4</x:v>
      </x:c>
      <x:c r="V4" s="15" t="s">
        <x:v>9</x:v>
      </x:c>
      <x:c r="W4" s="15" t="s">
        <x:v>10</x:v>
      </x:c>
      <x:c r="X4" s="15" t="s">
        <x:v>23</x:v>
      </x:c>
      <x:c r="Y4" s="15" t="s">
        <x:v>24</x:v>
      </x:c>
      <x:c r="Z4" s="15" t="s">
        <x:v>25</x:v>
      </x:c>
      <x:c r="AB4" s="16" t="s">
        <x:v>26</x:v>
      </x:c>
      <x:c r="AC4" s="16" t="s">
        <x:v>27</x:v>
      </x:c>
      <x:c r="AE4" s="16" t="s">
        <x:v>7</x:v>
      </x:c>
      <x:c r="AG4" s="16" t="s">
        <x:v>10</x:v>
      </x:c>
      <x:c r="AI4" s="16" t="s">
        <x:v>13</x:v>
      </x:c>
      <x:c r="AK4" s="16" t="s">
        <x:v>14</x:v>
      </x:c>
      <x:c r="AM4" s="16" t="s">
        <x:v>28</x:v>
      </x:c>
    </x:row>
    <x:row r="5" spans="1:39">
      <x:c r="A5" s="17">
        <x:v>1</x:v>
      </x:c>
      <x:c r="B5" s="18" t="s">
        <x:v>125</x:v>
      </x:c>
      <x:c r="C5" s="18" t="s">
        <x:v>32</x:v>
      </x:c>
      <x:c r="D5" s="17" t="s">
        <x:v>59</x:v>
      </x:c>
      <x:c r="E5" s="17" t="s">
        <x:v>126</x:v>
      </x:c>
      <x:c r="F5" s="18">
        <x:f>IFERROR(VLOOKUP(G5, $A$5:$B$52, 2, FALSE), "")</x:f>
      </x:c>
      <x:c r="G5" s="17">
        <x:v>1</x:v>
      </x:c>
      <x:c r="H5" s="17" t="s">
        <x:v>59</x:v>
      </x:c>
      <x:c r="I5" s="17">
        <x:v>1</x:v>
      </x:c>
      <x:c r="J5" s="18" t="s">
        <x:v>202</x:v>
      </x:c>
      <x:c r="K5" s="18" t="s">
        <x:v>59</x:v>
      </x:c>
      <x:c r="L5" s="17" t="s">
        <x:v>117</x:v>
      </x:c>
      <x:c r="M5" s="17">
        <x:v>6</x:v>
      </x:c>
      <x:c r="N5" s="18">
        <x:f>IFERROR(VLOOKUP(G5, $A$5:$C$52, 3, FALSE), "")</x:f>
      </x:c>
      <x:c r="O5" s="18" t="s">
        <x:v>203</x:v>
      </x:c>
      <x:c r="P5" s="17" t="s">
        <x:v>203</x:v>
      </x:c>
      <x:c r="Q5" s="17">
        <x:v>1</x:v>
      </x:c>
      <x:c r="R5" s="18" t="s">
        <x:v>417</x:v>
      </x:c>
      <x:c r="S5" s="17" t="s">
        <x:v>418</x:v>
      </x:c>
      <x:c r="T5" s="17" t="s">
        <x:v>419</x:v>
      </x:c>
      <x:c r="U5" s="17">
        <x:v>1</x:v>
      </x:c>
      <x:c r="V5" s="18">
        <x:f>IFERROR(VLOOKUP(U5, $A$5:$B$52, 2, FALSE), "")</x:f>
      </x:c>
      <x:c r="W5" s="17" t="s">
        <x:v>59</x:v>
      </x:c>
      <x:c r="X5" s="17" t="s">
        <x:v>420</x:v>
      </x:c>
      <x:c r="Y5" s="17" t="s">
        <x:v>123</x:v>
      </x:c>
      <x:c r="Z5" s="18" t="s">
        <x:v>203</x:v>
      </x:c>
      <x:c r="AB5" s="17" t="s">
        <x:v>29</x:v>
      </x:c>
      <x:c r="AC5" s="18" t="s">
        <x:v>30</x:v>
      </x:c>
      <x:c r="AE5" s="17" t="s">
        <x:v>59</x:v>
      </x:c>
      <x:c r="AG5" s="17" t="s">
        <x:v>59</x:v>
      </x:c>
      <x:c r="AI5" s="18" t="s">
        <x:v>69</x:v>
      </x:c>
      <x:c r="AK5" s="17" t="s">
        <x:v>117</x:v>
      </x:c>
      <x:c r="AM5" s="17" t="s">
        <x:v>123</x:v>
      </x:c>
    </x:row>
    <x:row r="6" spans="1:39">
      <x:c r="A6" s="17">
        <x:v>2</x:v>
      </x:c>
      <x:c r="B6" s="18" t="s">
        <x:v>127</x:v>
      </x:c>
      <x:c r="C6" s="18" t="s">
        <x:v>32</x:v>
      </x:c>
      <x:c r="D6" s="17" t="s">
        <x:v>59</x:v>
      </x:c>
      <x:c r="E6" s="17" t="s">
        <x:v>128</x:v>
      </x:c>
      <x:c r="F6" s="18">
        <x:f>IFERROR(VLOOKUP(G6, $A$5:$B$52, 2, FALSE), "")</x:f>
      </x:c>
      <x:c r="G6" s="17">
        <x:v>1</x:v>
      </x:c>
      <x:c r="H6" s="17" t="s">
        <x:v>59</x:v>
      </x:c>
      <x:c r="I6" s="17">
        <x:v>2</x:v>
      </x:c>
      <x:c r="J6" s="18" t="s">
        <x:v>204</x:v>
      </x:c>
      <x:c r="K6" s="18" t="s">
        <x:v>205</x:v>
      </x:c>
      <x:c r="L6" s="17" t="s">
        <x:v>117</x:v>
      </x:c>
      <x:c r="M6" s="17">
        <x:v>21</x:v>
      </x:c>
      <x:c r="N6" s="18">
        <x:f>IFERROR(VLOOKUP(G6, $A$5:$C$52, 3, FALSE), "")</x:f>
      </x:c>
      <x:c r="O6" s="18" t="s">
        <x:v>203</x:v>
      </x:c>
      <x:c r="P6" s="17" t="s">
        <x:v>203</x:v>
      </x:c>
      <x:c r="Q6" s="17">
        <x:v>2</x:v>
      </x:c>
      <x:c r="R6" s="18" t="s">
        <x:v>421</x:v>
      </x:c>
      <x:c r="S6" s="17" t="s">
        <x:v>418</x:v>
      </x:c>
      <x:c r="T6" s="17" t="s">
        <x:v>419</x:v>
      </x:c>
      <x:c r="U6" s="17">
        <x:v>1</x:v>
      </x:c>
      <x:c r="V6" s="18">
        <x:f>IFERROR(VLOOKUP(U6, $A$5:$B$52, 2, FALSE), "")</x:f>
      </x:c>
      <x:c r="W6" s="17" t="s">
        <x:v>59</x:v>
      </x:c>
      <x:c r="X6" s="17" t="s">
        <x:v>422</x:v>
      </x:c>
      <x:c r="Y6" s="17" t="s">
        <x:v>123</x:v>
      </x:c>
      <x:c r="Z6" s="18" t="s">
        <x:v>203</x:v>
      </x:c>
      <x:c r="AB6" s="17" t="s">
        <x:v>31</x:v>
      </x:c>
      <x:c r="AC6" s="18" t="s">
        <x:v>32</x:v>
      </x:c>
      <x:c r="AE6" s="17" t="s">
        <x:v>60</x:v>
      </x:c>
      <x:c r="AG6" s="17" t="s">
        <x:v>60</x:v>
      </x:c>
      <x:c r="AI6" s="18" t="s">
        <x:v>70</x:v>
      </x:c>
      <x:c r="AK6" s="17" t="s">
        <x:v>118</x:v>
      </x:c>
      <x:c r="AM6" s="17" t="s">
        <x:v>124</x:v>
      </x:c>
    </x:row>
    <x:row r="7" spans="1:39">
      <x:c r="A7" s="17">
        <x:v>3</x:v>
      </x:c>
      <x:c r="B7" s="18" t="s">
        <x:v>129</x:v>
      </x:c>
      <x:c r="C7" s="18" t="s">
        <x:v>32</x:v>
      </x:c>
      <x:c r="D7" s="17" t="s">
        <x:v>59</x:v>
      </x:c>
      <x:c r="E7" s="17" t="s">
        <x:v>130</x:v>
      </x:c>
      <x:c r="F7" s="18">
        <x:f>IFERROR(VLOOKUP(G7, $A$5:$B$52, 2, FALSE), "")</x:f>
      </x:c>
      <x:c r="G7" s="17">
        <x:v>1</x:v>
      </x:c>
      <x:c r="H7" s="17" t="s">
        <x:v>59</x:v>
      </x:c>
      <x:c r="I7" s="17">
        <x:v>3</x:v>
      </x:c>
      <x:c r="J7" s="18" t="s">
        <x:v>206</x:v>
      </x:c>
      <x:c r="K7" s="18" t="s">
        <x:v>59</x:v>
      </x:c>
      <x:c r="L7" s="17" t="s">
        <x:v>118</x:v>
      </x:c>
      <x:c r="M7" s="17">
        <x:v>36</x:v>
      </x:c>
      <x:c r="N7" s="18">
        <x:f>IFERROR(VLOOKUP(G7, $A$5:$C$52, 3, FALSE), "")</x:f>
      </x:c>
      <x:c r="O7" s="18" t="s">
        <x:v>203</x:v>
      </x:c>
      <x:c r="P7" s="17" t="s">
        <x:v>203</x:v>
      </x:c>
      <x:c r="Q7" s="17">
        <x:v>3</x:v>
      </x:c>
      <x:c r="R7" s="18" t="s">
        <x:v>423</x:v>
      </x:c>
      <x:c r="S7" s="17" t="s">
        <x:v>424</x:v>
      </x:c>
      <x:c r="T7" s="17" t="s">
        <x:v>419</x:v>
      </x:c>
      <x:c r="U7" s="17">
        <x:v>1</x:v>
      </x:c>
      <x:c r="V7" s="18">
        <x:f>IFERROR(VLOOKUP(U7, $A$5:$B$52, 2, FALSE), "")</x:f>
      </x:c>
      <x:c r="W7" s="17" t="s">
        <x:v>59</x:v>
      </x:c>
      <x:c r="X7" s="17" t="s">
        <x:v>425</x:v>
      </x:c>
      <x:c r="Y7" s="17" t="s">
        <x:v>123</x:v>
      </x:c>
      <x:c r="Z7" s="18" t="s">
        <x:v>203</x:v>
      </x:c>
      <x:c r="AB7" s="17" t="s">
        <x:v>33</x:v>
      </x:c>
      <x:c r="AC7" s="18" t="s">
        <x:v>34</x:v>
      </x:c>
      <x:c r="AE7" s="17" t="s">
        <x:v>61</x:v>
      </x:c>
      <x:c r="AG7" s="17" t="s">
        <x:v>62</x:v>
      </x:c>
      <x:c r="AI7" s="18" t="s">
        <x:v>71</x:v>
      </x:c>
      <x:c r="AK7" s="17" t="s">
        <x:v>119</x:v>
      </x:c>
    </x:row>
    <x:row r="8" spans="1:39">
      <x:c r="A8" s="17">
        <x:v>4</x:v>
      </x:c>
      <x:c r="B8" s="18" t="s">
        <x:v>131</x:v>
      </x:c>
      <x:c r="C8" s="18" t="s">
        <x:v>32</x:v>
      </x:c>
      <x:c r="D8" s="17" t="s">
        <x:v>59</x:v>
      </x:c>
      <x:c r="E8" s="17" t="s">
        <x:v>132</x:v>
      </x:c>
      <x:c r="F8" s="18">
        <x:f>IFERROR(VLOOKUP(G8, $A$5:$B$52, 2, FALSE), "")</x:f>
      </x:c>
      <x:c r="G8" s="17">
        <x:v>1</x:v>
      </x:c>
      <x:c r="H8" s="17" t="s">
        <x:v>59</x:v>
      </x:c>
      <x:c r="I8" s="17">
        <x:v>4</x:v>
      </x:c>
      <x:c r="J8" s="18" t="s">
        <x:v>207</x:v>
      </x:c>
      <x:c r="K8" s="18" t="s">
        <x:v>59</x:v>
      </x:c>
      <x:c r="L8" s="17" t="s">
        <x:v>119</x:v>
      </x:c>
      <x:c r="M8" s="17">
        <x:v>51</x:v>
      </x:c>
      <x:c r="N8" s="18">
        <x:f>IFERROR(VLOOKUP(G8, $A$5:$C$52, 3, FALSE), "")</x:f>
      </x:c>
      <x:c r="O8" s="18" t="s">
        <x:v>203</x:v>
      </x:c>
      <x:c r="P8" s="17" t="s">
        <x:v>203</x:v>
      </x:c>
      <x:c r="Q8" s="17">
        <x:v>17</x:v>
      </x:c>
      <x:c r="R8" s="18" t="s">
        <x:v>426</x:v>
      </x:c>
      <x:c r="S8" s="17" t="s">
        <x:v>427</x:v>
      </x:c>
      <x:c r="T8" s="17" t="s">
        <x:v>419</x:v>
      </x:c>
      <x:c r="U8" s="17">
        <x:v>1</x:v>
      </x:c>
      <x:c r="V8" s="18">
        <x:f>IFERROR(VLOOKUP(U8, $A$5:$B$52, 2, FALSE), "")</x:f>
      </x:c>
      <x:c r="W8" s="17" t="s">
        <x:v>59</x:v>
      </x:c>
      <x:c r="X8" s="17" t="s">
        <x:v>428</x:v>
      </x:c>
      <x:c r="Y8" s="17" t="s">
        <x:v>123</x:v>
      </x:c>
      <x:c r="Z8" s="18" t="s">
        <x:v>203</x:v>
      </x:c>
      <x:c r="AB8" s="17" t="s">
        <x:v>35</x:v>
      </x:c>
      <x:c r="AC8" s="18" t="s">
        <x:v>36</x:v>
      </x:c>
      <x:c r="AE8" s="17" t="s">
        <x:v>62</x:v>
      </x:c>
      <x:c r="AG8" s="17" t="s">
        <x:v>61</x:v>
      </x:c>
      <x:c r="AI8" s="18" t="s">
        <x:v>72</x:v>
      </x:c>
      <x:c r="AK8" s="17" t="s">
        <x:v>120</x:v>
      </x:c>
    </x:row>
    <x:row r="9" spans="1:39">
      <x:c r="A9" s="17">
        <x:v>5</x:v>
      </x:c>
      <x:c r="B9" s="18" t="s">
        <x:v>133</x:v>
      </x:c>
      <x:c r="C9" s="18" t="s">
        <x:v>34</x:v>
      </x:c>
      <x:c r="D9" s="17" t="s">
        <x:v>59</x:v>
      </x:c>
      <x:c r="E9" s="17" t="s">
        <x:v>134</x:v>
      </x:c>
      <x:c r="F9" s="18">
        <x:f>IFERROR(VLOOKUP(G9, $A$5:$B$52, 2, FALSE), "")</x:f>
      </x:c>
      <x:c r="G9" s="17">
        <x:v>2</x:v>
      </x:c>
      <x:c r="H9" s="17" t="s">
        <x:v>59</x:v>
      </x:c>
      <x:c r="I9" s="17">
        <x:v>5</x:v>
      </x:c>
      <x:c r="J9" s="18" t="s">
        <x:v>208</x:v>
      </x:c>
      <x:c r="K9" s="18" t="s">
        <x:v>93</x:v>
      </x:c>
      <x:c r="L9" s="17" t="s">
        <x:v>117</x:v>
      </x:c>
      <x:c r="M9" s="17">
        <x:v>66</x:v>
      </x:c>
      <x:c r="N9" s="18">
        <x:f>IFERROR(VLOOKUP(G9, $A$5:$C$52, 3, FALSE), "")</x:f>
      </x:c>
      <x:c r="O9" s="18" t="s">
        <x:v>203</x:v>
      </x:c>
      <x:c r="P9" s="17" t="s">
        <x:v>203</x:v>
      </x:c>
      <x:c r="Q9" s="17">
        <x:v>5</x:v>
      </x:c>
      <x:c r="R9" s="18" t="s">
        <x:v>429</x:v>
      </x:c>
      <x:c r="S9" s="17" t="s">
        <x:v>418</x:v>
      </x:c>
      <x:c r="T9" s="17" t="s">
        <x:v>419</x:v>
      </x:c>
      <x:c r="U9" s="17">
        <x:v>2</x:v>
      </x:c>
      <x:c r="V9" s="18">
        <x:f>IFERROR(VLOOKUP(U9, $A$5:$B$52, 2, FALSE), "")</x:f>
      </x:c>
      <x:c r="W9" s="17" t="s">
        <x:v>59</x:v>
      </x:c>
      <x:c r="X9" s="17" t="s">
        <x:v>420</x:v>
      </x:c>
      <x:c r="Y9" s="17" t="s">
        <x:v>123</x:v>
      </x:c>
      <x:c r="Z9" s="18" t="s">
        <x:v>203</x:v>
      </x:c>
      <x:c r="AB9" s="17" t="s">
        <x:v>37</x:v>
      </x:c>
      <x:c r="AC9" s="18" t="s">
        <x:v>38</x:v>
      </x:c>
      <x:c r="AE9" s="17" t="s">
        <x:v>63</x:v>
      </x:c>
      <x:c r="AG9" s="17" t="s">
        <x:v>64</x:v>
      </x:c>
      <x:c r="AI9" s="18" t="s">
        <x:v>73</x:v>
      </x:c>
      <x:c r="AK9" s="17" t="s">
        <x:v>121</x:v>
      </x:c>
    </x:row>
    <x:row r="10" spans="1:39">
      <x:c r="A10" s="17">
        <x:v>6</x:v>
      </x:c>
      <x:c r="B10" s="18" t="s">
        <x:v>135</x:v>
      </x:c>
      <x:c r="C10" s="18" t="s">
        <x:v>36</x:v>
      </x:c>
      <x:c r="D10" s="17" t="s">
        <x:v>59</x:v>
      </x:c>
      <x:c r="E10" s="17" t="s">
        <x:v>136</x:v>
      </x:c>
      <x:c r="F10" s="18">
        <x:f>IFERROR(VLOOKUP(G10, $A$5:$B$52, 2, FALSE), "")</x:f>
      </x:c>
      <x:c r="G10" s="17">
        <x:v>2</x:v>
      </x:c>
      <x:c r="H10" s="17" t="s">
        <x:v>59</x:v>
      </x:c>
      <x:c r="I10" s="17">
        <x:v>6</x:v>
      </x:c>
      <x:c r="J10" s="18" t="s">
        <x:v>209</x:v>
      </x:c>
      <x:c r="K10" s="18" t="s">
        <x:v>91</x:v>
      </x:c>
      <x:c r="L10" s="17" t="s">
        <x:v>117</x:v>
      </x:c>
      <x:c r="M10" s="17">
        <x:v>81</x:v>
      </x:c>
      <x:c r="N10" s="18">
        <x:f>IFERROR(VLOOKUP(G10, $A$5:$C$52, 3, FALSE), "")</x:f>
      </x:c>
      <x:c r="O10" s="18" t="s">
        <x:v>203</x:v>
      </x:c>
      <x:c r="P10" s="17" t="s">
        <x:v>203</x:v>
      </x:c>
      <x:c r="Q10" s="17">
        <x:v>6</x:v>
      </x:c>
      <x:c r="R10" s="18" t="s">
        <x:v>430</x:v>
      </x:c>
      <x:c r="S10" s="17" t="s">
        <x:v>424</x:v>
      </x:c>
      <x:c r="T10" s="17" t="s">
        <x:v>419</x:v>
      </x:c>
      <x:c r="U10" s="17">
        <x:v>2</x:v>
      </x:c>
      <x:c r="V10" s="18">
        <x:f>IFERROR(VLOOKUP(U10, $A$5:$B$52, 2, FALSE), "")</x:f>
      </x:c>
      <x:c r="W10" s="17" t="s">
        <x:v>59</x:v>
      </x:c>
      <x:c r="X10" s="17" t="s">
        <x:v>422</x:v>
      </x:c>
      <x:c r="Y10" s="17" t="s">
        <x:v>123</x:v>
      </x:c>
      <x:c r="Z10" s="18" t="s">
        <x:v>203</x:v>
      </x:c>
      <x:c r="AB10" s="17" t="s">
        <x:v>39</x:v>
      </x:c>
      <x:c r="AC10" s="18" t="s">
        <x:v>40</x:v>
      </x:c>
      <x:c r="AG10" s="17" t="s">
        <x:v>65</x:v>
      </x:c>
      <x:c r="AI10" s="18" t="s">
        <x:v>74</x:v>
      </x:c>
      <x:c r="AK10" s="17" t="s">
        <x:v>122</x:v>
      </x:c>
    </x:row>
    <x:row r="11" spans="1:39">
      <x:c r="A11" s="17">
        <x:v>7</x:v>
      </x:c>
      <x:c r="B11" s="18" t="s">
        <x:v>137</x:v>
      </x:c>
      <x:c r="C11" s="18" t="s">
        <x:v>36</x:v>
      </x:c>
      <x:c r="D11" s="17" t="s">
        <x:v>59</x:v>
      </x:c>
      <x:c r="E11" s="17" t="s">
        <x:v>138</x:v>
      </x:c>
      <x:c r="F11" s="18">
        <x:f>IFERROR(VLOOKUP(G11, $A$5:$B$52, 2, FALSE), "")</x:f>
      </x:c>
      <x:c r="G11" s="17">
        <x:v>2</x:v>
      </x:c>
      <x:c r="H11" s="17" t="s">
        <x:v>59</x:v>
      </x:c>
      <x:c r="I11" s="17">
        <x:v>7</x:v>
      </x:c>
      <x:c r="J11" s="18" t="s">
        <x:v>206</x:v>
      </x:c>
      <x:c r="K11" s="18" t="s">
        <x:v>59</x:v>
      </x:c>
      <x:c r="L11" s="17" t="s">
        <x:v>118</x:v>
      </x:c>
      <x:c r="M11" s="17">
        <x:v>96</x:v>
      </x:c>
      <x:c r="N11" s="18">
        <x:f>IFERROR(VLOOKUP(G11, $A$5:$C$52, 3, FALSE), "")</x:f>
      </x:c>
      <x:c r="O11" s="18" t="s">
        <x:v>203</x:v>
      </x:c>
      <x:c r="P11" s="17" t="s">
        <x:v>203</x:v>
      </x:c>
      <x:c r="Q11" s="17">
        <x:v>7</x:v>
      </x:c>
      <x:c r="R11" s="18" t="s">
        <x:v>431</x:v>
      </x:c>
      <x:c r="S11" s="17" t="s">
        <x:v>427</x:v>
      </x:c>
      <x:c r="T11" s="17" t="s">
        <x:v>419</x:v>
      </x:c>
      <x:c r="U11" s="17">
        <x:v>2</x:v>
      </x:c>
      <x:c r="V11" s="18">
        <x:f>IFERROR(VLOOKUP(U11, $A$5:$B$52, 2, FALSE), "")</x:f>
      </x:c>
      <x:c r="W11" s="17" t="s">
        <x:v>59</x:v>
      </x:c>
      <x:c r="X11" s="17" t="s">
        <x:v>425</x:v>
      </x:c>
      <x:c r="Y11" s="17" t="s">
        <x:v>123</x:v>
      </x:c>
      <x:c r="Z11" s="18" t="s">
        <x:v>203</x:v>
      </x:c>
      <x:c r="AB11" s="17" t="s">
        <x:v>41</x:v>
      </x:c>
      <x:c r="AC11" s="18" t="s">
        <x:v>42</x:v>
      </x:c>
      <x:c r="AG11" s="17" t="s">
        <x:v>66</x:v>
      </x:c>
      <x:c r="AI11" s="18" t="s">
        <x:v>75</x:v>
      </x:c>
    </x:row>
    <x:row r="12" spans="1:39">
      <x:c r="A12" s="17">
        <x:v>8</x:v>
      </x:c>
      <x:c r="B12" s="18" t="s">
        <x:v>139</x:v>
      </x:c>
      <x:c r="C12" s="18" t="s">
        <x:v>32</x:v>
      </x:c>
      <x:c r="D12" s="17" t="s">
        <x:v>59</x:v>
      </x:c>
      <x:c r="E12" s="17" t="s">
        <x:v>140</x:v>
      </x:c>
      <x:c r="F12" s="18">
        <x:f>IFERROR(VLOOKUP(G12, $A$5:$B$52, 2, FALSE), "")</x:f>
      </x:c>
      <x:c r="G12" s="17">
        <x:v>2</x:v>
      </x:c>
      <x:c r="H12" s="17" t="s">
        <x:v>59</x:v>
      </x:c>
      <x:c r="I12" s="17">
        <x:v>8</x:v>
      </x:c>
      <x:c r="J12" s="18" t="s">
        <x:v>207</x:v>
      </x:c>
      <x:c r="K12" s="18" t="s">
        <x:v>59</x:v>
      </x:c>
      <x:c r="L12" s="17" t="s">
        <x:v>119</x:v>
      </x:c>
      <x:c r="M12" s="17">
        <x:v>111</x:v>
      </x:c>
      <x:c r="N12" s="18">
        <x:f>IFERROR(VLOOKUP(G12, $A$5:$C$52, 3, FALSE), "")</x:f>
      </x:c>
      <x:c r="O12" s="18" t="s">
        <x:v>203</x:v>
      </x:c>
      <x:c r="P12" s="17" t="s">
        <x:v>203</x:v>
      </x:c>
      <x:c r="Q12" s="17">
        <x:v>1</x:v>
      </x:c>
      <x:c r="R12" s="18" t="s">
        <x:v>417</x:v>
      </x:c>
      <x:c r="S12" s="17" t="s">
        <x:v>432</x:v>
      </x:c>
      <x:c r="T12" s="17" t="s">
        <x:v>419</x:v>
      </x:c>
      <x:c r="U12" s="17">
        <x:v>2</x:v>
      </x:c>
      <x:c r="V12" s="18">
        <x:f>IFERROR(VLOOKUP(U12, $A$5:$B$52, 2, FALSE), "")</x:f>
      </x:c>
      <x:c r="W12" s="17" t="s">
        <x:v>59</x:v>
      </x:c>
      <x:c r="X12" s="17" t="s">
        <x:v>422</x:v>
      </x:c>
      <x:c r="Y12" s="17" t="s">
        <x:v>123</x:v>
      </x:c>
      <x:c r="Z12" s="18" t="s">
        <x:v>203</x:v>
      </x:c>
      <x:c r="AB12" s="17" t="s">
        <x:v>43</x:v>
      </x:c>
      <x:c r="AC12" s="18" t="s">
        <x:v>44</x:v>
      </x:c>
      <x:c r="AG12" s="17" t="s">
        <x:v>67</x:v>
      </x:c>
      <x:c r="AI12" s="18" t="s">
        <x:v>76</x:v>
      </x:c>
    </x:row>
    <x:row r="13" spans="1:39">
      <x:c r="A13" s="17">
        <x:v>9</x:v>
      </x:c>
      <x:c r="B13" s="18" t="s">
        <x:v>141</x:v>
      </x:c>
      <x:c r="C13" s="18" t="s">
        <x:v>54</x:v>
      </x:c>
      <x:c r="D13" s="17" t="s">
        <x:v>60</x:v>
      </x:c>
      <x:c r="E13" s="17" t="s">
        <x:v>126</x:v>
      </x:c>
      <x:c r="F13" s="18">
        <x:f>IFERROR(VLOOKUP(G13, $A$5:$B$52, 2, FALSE), "")</x:f>
      </x:c>
      <x:c r="G13" s="17">
        <x:v>3</x:v>
      </x:c>
      <x:c r="H13" s="17" t="s">
        <x:v>59</x:v>
      </x:c>
      <x:c r="I13" s="17">
        <x:v>9</x:v>
      </x:c>
      <x:c r="J13" s="18" t="s">
        <x:v>210</x:v>
      </x:c>
      <x:c r="K13" s="18" t="s">
        <x:v>59</x:v>
      </x:c>
      <x:c r="L13" s="17" t="s">
        <x:v>120</x:v>
      </x:c>
      <x:c r="M13" s="17">
        <x:v>126</x:v>
      </x:c>
      <x:c r="N13" s="18">
        <x:f>IFERROR(VLOOKUP(G13, $A$5:$C$52, 3, FALSE), "")</x:f>
      </x:c>
      <x:c r="O13" s="18" t="s">
        <x:v>203</x:v>
      </x:c>
      <x:c r="P13" s="17" t="s">
        <x:v>203</x:v>
      </x:c>
      <x:c r="Q13" s="17">
        <x:v>8</x:v>
      </x:c>
      <x:c r="R13" s="18" t="s">
        <x:v>433</x:v>
      </x:c>
      <x:c r="S13" s="17" t="s">
        <x:v>434</x:v>
      </x:c>
      <x:c r="T13" s="17" t="s">
        <x:v>419</x:v>
      </x:c>
      <x:c r="U13" s="17">
        <x:v>3</x:v>
      </x:c>
      <x:c r="V13" s="18">
        <x:f>IFERROR(VLOOKUP(U13, $A$5:$B$52, 2, FALSE), "")</x:f>
      </x:c>
      <x:c r="W13" s="17" t="s">
        <x:v>59</x:v>
      </x:c>
      <x:c r="X13" s="17" t="s">
        <x:v>420</x:v>
      </x:c>
      <x:c r="Y13" s="17" t="s">
        <x:v>123</x:v>
      </x:c>
      <x:c r="Z13" s="18" t="s">
        <x:v>203</x:v>
      </x:c>
      <x:c r="AB13" s="17" t="s">
        <x:v>45</x:v>
      </x:c>
      <x:c r="AC13" s="18" t="s">
        <x:v>46</x:v>
      </x:c>
      <x:c r="AG13" s="17" t="s">
        <x:v>68</x:v>
      </x:c>
      <x:c r="AI13" s="18" t="s">
        <x:v>77</x:v>
      </x:c>
    </x:row>
    <x:row r="14" spans="1:39">
      <x:c r="A14" s="17">
        <x:v>10</x:v>
      </x:c>
      <x:c r="B14" s="18" t="s">
        <x:v>142</x:v>
      </x:c>
      <x:c r="C14" s="18" t="s">
        <x:v>54</x:v>
      </x:c>
      <x:c r="D14" s="17" t="s">
        <x:v>60</x:v>
      </x:c>
      <x:c r="E14" s="17" t="s">
        <x:v>143</x:v>
      </x:c>
      <x:c r="F14" s="18">
        <x:f>IFERROR(VLOOKUP(G14, $A$5:$B$52, 2, FALSE), "")</x:f>
      </x:c>
      <x:c r="G14" s="17">
        <x:v>3</x:v>
      </x:c>
      <x:c r="H14" s="17" t="s">
        <x:v>59</x:v>
      </x:c>
      <x:c r="I14" s="17">
        <x:v>10</x:v>
      </x:c>
      <x:c r="J14" s="18" t="s">
        <x:v>211</x:v>
      </x:c>
      <x:c r="K14" s="18" t="s">
        <x:v>59</x:v>
      </x:c>
      <x:c r="L14" s="17" t="s">
        <x:v>121</x:v>
      </x:c>
      <x:c r="M14" s="17">
        <x:v>141</x:v>
      </x:c>
      <x:c r="N14" s="18">
        <x:f>IFERROR(VLOOKUP(G14, $A$5:$C$52, 3, FALSE), "")</x:f>
      </x:c>
      <x:c r="O14" s="18" t="s">
        <x:v>203</x:v>
      </x:c>
      <x:c r="P14" s="17" t="s">
        <x:v>203</x:v>
      </x:c>
      <x:c r="Q14" s="17">
        <x:v>9</x:v>
      </x:c>
      <x:c r="R14" s="18" t="s">
        <x:v>435</x:v>
      </x:c>
      <x:c r="S14" s="17" t="s">
        <x:v>436</x:v>
      </x:c>
      <x:c r="T14" s="17" t="s">
        <x:v>419</x:v>
      </x:c>
      <x:c r="U14" s="17">
        <x:v>3</x:v>
      </x:c>
      <x:c r="V14" s="18">
        <x:f>IFERROR(VLOOKUP(U14, $A$5:$B$52, 2, FALSE), "")</x:f>
      </x:c>
      <x:c r="W14" s="17" t="s">
        <x:v>59</x:v>
      </x:c>
      <x:c r="X14" s="17" t="s">
        <x:v>422</x:v>
      </x:c>
      <x:c r="Y14" s="17" t="s">
        <x:v>123</x:v>
      </x:c>
      <x:c r="Z14" s="18" t="s">
        <x:v>203</x:v>
      </x:c>
      <x:c r="AB14" s="17" t="s">
        <x:v>47</x:v>
      </x:c>
      <x:c r="AC14" s="18" t="s">
        <x:v>48</x:v>
      </x:c>
      <x:c r="AI14" s="18" t="s">
        <x:v>78</x:v>
      </x:c>
    </x:row>
    <x:row r="15" spans="1:39">
      <x:c r="A15" s="17">
        <x:v>11</x:v>
      </x:c>
      <x:c r="B15" s="18" t="s">
        <x:v>144</x:v>
      </x:c>
      <x:c r="C15" s="18" t="s">
        <x:v>54</x:v>
      </x:c>
      <x:c r="D15" s="17" t="s">
        <x:v>60</x:v>
      </x:c>
      <x:c r="E15" s="17" t="s">
        <x:v>145</x:v>
      </x:c>
      <x:c r="F15" s="18">
        <x:f>IFERROR(VLOOKUP(G15, $A$5:$B$52, 2, FALSE), "")</x:f>
      </x:c>
      <x:c r="G15" s="17">
        <x:v>3</x:v>
      </x:c>
      <x:c r="H15" s="17" t="s">
        <x:v>59</x:v>
      </x:c>
      <x:c r="I15" s="17">
        <x:v>11</x:v>
      </x:c>
      <x:c r="J15" s="18" t="s">
        <x:v>212</x:v>
      </x:c>
      <x:c r="K15" s="18" t="s">
        <x:v>213</x:v>
      </x:c>
      <x:c r="L15" s="17" t="s">
        <x:v>122</x:v>
      </x:c>
      <x:c r="M15" s="17">
        <x:v>156</x:v>
      </x:c>
      <x:c r="N15" s="18">
        <x:f>IFERROR(VLOOKUP(G15, $A$5:$C$52, 3, FALSE), "")</x:f>
      </x:c>
      <x:c r="O15" s="18" t="s">
        <x:v>203</x:v>
      </x:c>
      <x:c r="P15" s="17" t="s">
        <x:v>203</x:v>
      </x:c>
      <x:c r="Q15" s="17">
        <x:v>10</x:v>
      </x:c>
      <x:c r="R15" s="18" t="s">
        <x:v>437</x:v>
      </x:c>
      <x:c r="S15" s="17" t="s">
        <x:v>438</x:v>
      </x:c>
      <x:c r="T15" s="17" t="s">
        <x:v>419</x:v>
      </x:c>
      <x:c r="U15" s="17">
        <x:v>3</x:v>
      </x:c>
      <x:c r="V15" s="18">
        <x:f>IFERROR(VLOOKUP(U15, $A$5:$B$52, 2, FALSE), "")</x:f>
      </x:c>
      <x:c r="W15" s="17" t="s">
        <x:v>59</x:v>
      </x:c>
      <x:c r="X15" s="17" t="s">
        <x:v>425</x:v>
      </x:c>
      <x:c r="Y15" s="17" t="s">
        <x:v>123</x:v>
      </x:c>
      <x:c r="Z15" s="18" t="s">
        <x:v>203</x:v>
      </x:c>
      <x:c r="AB15" s="17" t="s">
        <x:v>49</x:v>
      </x:c>
      <x:c r="AC15" s="18" t="s">
        <x:v>50</x:v>
      </x:c>
      <x:c r="AI15" s="18" t="s">
        <x:v>79</x:v>
      </x:c>
    </x:row>
    <x:row r="16" spans="1:39">
      <x:c r="A16" s="17">
        <x:v>12</x:v>
      </x:c>
      <x:c r="B16" s="18" t="s">
        <x:v>146</x:v>
      </x:c>
      <x:c r="C16" s="18" t="s">
        <x:v>54</x:v>
      </x:c>
      <x:c r="D16" s="17" t="s">
        <x:v>60</x:v>
      </x:c>
      <x:c r="E16" s="17" t="s">
        <x:v>147</x:v>
      </x:c>
      <x:c r="F16" s="18">
        <x:f>IFERROR(VLOOKUP(G16, $A$5:$B$52, 2, FALSE), "")</x:f>
      </x:c>
      <x:c r="G16" s="17">
        <x:v>3</x:v>
      </x:c>
      <x:c r="H16" s="17" t="s">
        <x:v>59</x:v>
      </x:c>
      <x:c r="I16" s="17">
        <x:v>12</x:v>
      </x:c>
      <x:c r="J16" s="18" t="s">
        <x:v>214</x:v>
      </x:c>
      <x:c r="K16" s="18" t="s">
        <x:v>205</x:v>
      </x:c>
      <x:c r="L16" s="17" t="s">
        <x:v>122</x:v>
      </x:c>
      <x:c r="M16" s="17">
        <x:v>171</x:v>
      </x:c>
      <x:c r="N16" s="18">
        <x:f>IFERROR(VLOOKUP(G16, $A$5:$C$52, 3, FALSE), "")</x:f>
      </x:c>
      <x:c r="O16" s="18" t="s">
        <x:v>203</x:v>
      </x:c>
      <x:c r="P16" s="17" t="s">
        <x:v>203</x:v>
      </x:c>
      <x:c r="Q16" s="17">
        <x:v>11</x:v>
      </x:c>
      <x:c r="R16" s="18" t="s">
        <x:v>439</x:v>
      </x:c>
      <x:c r="S16" s="17" t="s">
        <x:v>173</x:v>
      </x:c>
      <x:c r="T16" s="17" t="s">
        <x:v>419</x:v>
      </x:c>
      <x:c r="U16" s="17">
        <x:v>4</x:v>
      </x:c>
      <x:c r="V16" s="18">
        <x:f>IFERROR(VLOOKUP(U16, $A$5:$B$52, 2, FALSE), "")</x:f>
      </x:c>
      <x:c r="W16" s="17" t="s">
        <x:v>59</x:v>
      </x:c>
      <x:c r="X16" s="17" t="s">
        <x:v>420</x:v>
      </x:c>
      <x:c r="Y16" s="17" t="s">
        <x:v>123</x:v>
      </x:c>
      <x:c r="Z16" s="18" t="s">
        <x:v>203</x:v>
      </x:c>
      <x:c r="AB16" s="17" t="s">
        <x:v>51</x:v>
      </x:c>
      <x:c r="AC16" s="18" t="s">
        <x:v>52</x:v>
      </x:c>
      <x:c r="AI16" s="18" t="s">
        <x:v>80</x:v>
      </x:c>
    </x:row>
    <x:row r="17" spans="1:39">
      <x:c r="A17" s="17">
        <x:v>13</x:v>
      </x:c>
      <x:c r="B17" s="18" t="s">
        <x:v>148</x:v>
      </x:c>
      <x:c r="C17" s="18" t="s">
        <x:v>54</x:v>
      </x:c>
      <x:c r="D17" s="17" t="s">
        <x:v>60</x:v>
      </x:c>
      <x:c r="E17" s="17" t="s">
        <x:v>149</x:v>
      </x:c>
      <x:c r="F17" s="18">
        <x:f>IFERROR(VLOOKUP(G17, $A$5:$B$52, 2, FALSE), "")</x:f>
      </x:c>
      <x:c r="G17" s="17">
        <x:v>4</x:v>
      </x:c>
      <x:c r="H17" s="17" t="s">
        <x:v>59</x:v>
      </x:c>
      <x:c r="I17" s="17">
        <x:v>13</x:v>
      </x:c>
      <x:c r="J17" s="18" t="s">
        <x:v>202</x:v>
      </x:c>
      <x:c r="K17" s="18" t="s">
        <x:v>59</x:v>
      </x:c>
      <x:c r="L17" s="17" t="s">
        <x:v>117</x:v>
      </x:c>
      <x:c r="M17" s="17">
        <x:v>186</x:v>
      </x:c>
      <x:c r="N17" s="18">
        <x:f>IFERROR(VLOOKUP(G17, $A$5:$C$52, 3, FALSE), "")</x:f>
      </x:c>
      <x:c r="O17" s="18" t="s">
        <x:v>203</x:v>
      </x:c>
      <x:c r="P17" s="17" t="s">
        <x:v>203</x:v>
      </x:c>
      <x:c r="Q17" s="17">
        <x:v>12</x:v>
      </x:c>
      <x:c r="R17" s="18" t="s">
        <x:v>440</x:v>
      </x:c>
      <x:c r="S17" s="17" t="s">
        <x:v>441</x:v>
      </x:c>
      <x:c r="T17" s="17" t="s">
        <x:v>419</x:v>
      </x:c>
      <x:c r="U17" s="17">
        <x:v>4</x:v>
      </x:c>
      <x:c r="V17" s="18">
        <x:f>IFERROR(VLOOKUP(U17, $A$5:$B$52, 2, FALSE), "")</x:f>
      </x:c>
      <x:c r="W17" s="17" t="s">
        <x:v>59</x:v>
      </x:c>
      <x:c r="X17" s="17" t="s">
        <x:v>422</x:v>
      </x:c>
      <x:c r="Y17" s="17" t="s">
        <x:v>123</x:v>
      </x:c>
      <x:c r="Z17" s="18" t="s">
        <x:v>203</x:v>
      </x:c>
      <x:c r="AB17" s="17" t="s">
        <x:v>53</x:v>
      </x:c>
      <x:c r="AC17" s="18" t="s">
        <x:v>54</x:v>
      </x:c>
      <x:c r="AI17" s="18" t="s">
        <x:v>81</x:v>
      </x:c>
    </x:row>
    <x:row r="18" spans="1:39">
      <x:c r="A18" s="17">
        <x:v>14</x:v>
      </x:c>
      <x:c r="B18" s="18" t="s">
        <x:v>150</x:v>
      </x:c>
      <x:c r="C18" s="18" t="s">
        <x:v>54</x:v>
      </x:c>
      <x:c r="D18" s="17" t="s">
        <x:v>60</x:v>
      </x:c>
      <x:c r="E18" s="17" t="s">
        <x:v>151</x:v>
      </x:c>
      <x:c r="F18" s="18">
        <x:f>IFERROR(VLOOKUP(G18, $A$5:$B$52, 2, FALSE), "")</x:f>
      </x:c>
      <x:c r="G18" s="17">
        <x:v>4</x:v>
      </x:c>
      <x:c r="H18" s="17" t="s">
        <x:v>59</x:v>
      </x:c>
      <x:c r="I18" s="17">
        <x:v>14</x:v>
      </x:c>
      <x:c r="J18" s="18" t="s">
        <x:v>206</x:v>
      </x:c>
      <x:c r="K18" s="18" t="s">
        <x:v>59</x:v>
      </x:c>
      <x:c r="L18" s="17" t="s">
        <x:v>118</x:v>
      </x:c>
      <x:c r="M18" s="17">
        <x:v>201</x:v>
      </x:c>
      <x:c r="N18" s="18">
        <x:f>IFERROR(VLOOKUP(G18, $A$5:$C$52, 3, FALSE), "")</x:f>
      </x:c>
      <x:c r="O18" s="18" t="s">
        <x:v>203</x:v>
      </x:c>
      <x:c r="P18" s="17" t="s">
        <x:v>203</x:v>
      </x:c>
      <x:c r="Q18" s="17">
        <x:v>13</x:v>
      </x:c>
      <x:c r="R18" s="18" t="s">
        <x:v>442</x:v>
      </x:c>
      <x:c r="S18" s="17" t="s">
        <x:v>157</x:v>
      </x:c>
      <x:c r="T18" s="17" t="s">
        <x:v>419</x:v>
      </x:c>
      <x:c r="U18" s="17">
        <x:v>4</x:v>
      </x:c>
      <x:c r="V18" s="18">
        <x:f>IFERROR(VLOOKUP(U18, $A$5:$B$52, 2, FALSE), "")</x:f>
      </x:c>
      <x:c r="W18" s="17" t="s">
        <x:v>59</x:v>
      </x:c>
      <x:c r="X18" s="17" t="s">
        <x:v>425</x:v>
      </x:c>
      <x:c r="Y18" s="17" t="s">
        <x:v>123</x:v>
      </x:c>
      <x:c r="Z18" s="18" t="s">
        <x:v>203</x:v>
      </x:c>
      <x:c r="AB18" s="17" t="s">
        <x:v>55</x:v>
      </x:c>
      <x:c r="AC18" s="18" t="s">
        <x:v>56</x:v>
      </x:c>
      <x:c r="AI18" s="18" t="s">
        <x:v>82</x:v>
      </x:c>
    </x:row>
    <x:row r="19" spans="1:39">
      <x:c r="A19" s="17">
        <x:v>15</x:v>
      </x:c>
      <x:c r="B19" s="18" t="s">
        <x:v>152</x:v>
      </x:c>
      <x:c r="C19" s="18" t="s">
        <x:v>54</x:v>
      </x:c>
      <x:c r="D19" s="17" t="s">
        <x:v>60</x:v>
      </x:c>
      <x:c r="E19" s="17" t="s">
        <x:v>153</x:v>
      </x:c>
      <x:c r="F19" s="18">
        <x:f>IFERROR(VLOOKUP(G19, $A$5:$B$52, 2, FALSE), "")</x:f>
      </x:c>
      <x:c r="G19" s="17">
        <x:v>4</x:v>
      </x:c>
      <x:c r="H19" s="17" t="s">
        <x:v>59</x:v>
      </x:c>
      <x:c r="I19" s="17">
        <x:v>15</x:v>
      </x:c>
      <x:c r="J19" s="18" t="s">
        <x:v>215</x:v>
      </x:c>
      <x:c r="K19" s="18" t="s">
        <x:v>92</x:v>
      </x:c>
      <x:c r="L19" s="17" t="s">
        <x:v>119</x:v>
      </x:c>
      <x:c r="M19" s="17">
        <x:v>216</x:v>
      </x:c>
      <x:c r="N19" s="18">
        <x:f>IFERROR(VLOOKUP(G19, $A$5:$C$52, 3, FALSE), "")</x:f>
      </x:c>
      <x:c r="O19" s="18" t="s">
        <x:v>203</x:v>
      </x:c>
      <x:c r="P19" s="17" t="s">
        <x:v>203</x:v>
      </x:c>
      <x:c r="Q19" s="17">
        <x:v>14</x:v>
      </x:c>
      <x:c r="R19" s="18" t="s">
        <x:v>443</x:v>
      </x:c>
      <x:c r="S19" s="17" t="s">
        <x:v>444</x:v>
      </x:c>
      <x:c r="T19" s="17" t="s">
        <x:v>419</x:v>
      </x:c>
      <x:c r="U19" s="17">
        <x:v>5</x:v>
      </x:c>
      <x:c r="V19" s="18">
        <x:f>IFERROR(VLOOKUP(U19, $A$5:$B$52, 2, FALSE), "")</x:f>
      </x:c>
      <x:c r="W19" s="17" t="s">
        <x:v>59</x:v>
      </x:c>
      <x:c r="X19" s="17" t="s">
        <x:v>420</x:v>
      </x:c>
      <x:c r="Y19" s="17" t="s">
        <x:v>123</x:v>
      </x:c>
      <x:c r="Z19" s="18" t="s">
        <x:v>203</x:v>
      </x:c>
      <x:c r="AB19" s="17" t="s">
        <x:v>57</x:v>
      </x:c>
      <x:c r="AC19" s="18" t="s">
        <x:v>58</x:v>
      </x:c>
      <x:c r="AI19" s="18" t="s">
        <x:v>83</x:v>
      </x:c>
    </x:row>
    <x:row r="20" spans="1:39">
      <x:c r="A20" s="17">
        <x:v>16</x:v>
      </x:c>
      <x:c r="B20" s="18" t="s">
        <x:v>154</x:v>
      </x:c>
      <x:c r="C20" s="18" t="s">
        <x:v>54</x:v>
      </x:c>
      <x:c r="D20" s="17" t="s">
        <x:v>60</x:v>
      </x:c>
      <x:c r="E20" s="17" t="s">
        <x:v>155</x:v>
      </x:c>
      <x:c r="F20" s="18">
        <x:f>IFERROR(VLOOKUP(G20, $A$5:$B$52, 2, FALSE), "")</x:f>
      </x:c>
      <x:c r="G20" s="17">
        <x:v>5</x:v>
      </x:c>
      <x:c r="H20" s="17" t="s">
        <x:v>59</x:v>
      </x:c>
      <x:c r="I20" s="17">
        <x:v>16</x:v>
      </x:c>
      <x:c r="J20" s="18" t="s">
        <x:v>216</x:v>
      </x:c>
      <x:c r="K20" s="18" t="s">
        <x:v>59</x:v>
      </x:c>
      <x:c r="L20" s="17" t="s">
        <x:v>117</x:v>
      </x:c>
      <x:c r="M20" s="17">
        <x:v>231</x:v>
      </x:c>
      <x:c r="N20" s="18">
        <x:f>IFERROR(VLOOKUP(G20, $A$5:$C$52, 3, FALSE), "")</x:f>
      </x:c>
      <x:c r="O20" s="18" t="s">
        <x:v>203</x:v>
      </x:c>
      <x:c r="P20" s="17" t="s">
        <x:v>203</x:v>
      </x:c>
      <x:c r="Q20" s="17">
        <x:v>15</x:v>
      </x:c>
      <x:c r="R20" s="18" t="s">
        <x:v>445</x:v>
      </x:c>
      <x:c r="S20" s="17" t="s">
        <x:v>446</x:v>
      </x:c>
      <x:c r="T20" s="17" t="s">
        <x:v>419</x:v>
      </x:c>
      <x:c r="U20" s="17">
        <x:v>5</x:v>
      </x:c>
      <x:c r="V20" s="18">
        <x:f>IFERROR(VLOOKUP(U20, $A$5:$B$52, 2, FALSE), "")</x:f>
      </x:c>
      <x:c r="W20" s="17" t="s">
        <x:v>59</x:v>
      </x:c>
      <x:c r="X20" s="17" t="s">
        <x:v>422</x:v>
      </x:c>
      <x:c r="Y20" s="17" t="s">
        <x:v>123</x:v>
      </x:c>
      <x:c r="Z20" s="18" t="s">
        <x:v>203</x:v>
      </x:c>
      <x:c r="AI20" s="18" t="s">
        <x:v>84</x:v>
      </x:c>
    </x:row>
    <x:row r="21" spans="1:39">
      <x:c r="A21" s="17">
        <x:v>17</x:v>
      </x:c>
      <x:c r="B21" s="18" t="s">
        <x:v>156</x:v>
      </x:c>
      <x:c r="C21" s="18" t="s">
        <x:v>32</x:v>
      </x:c>
      <x:c r="D21" s="17" t="s">
        <x:v>61</x:v>
      </x:c>
      <x:c r="E21" s="17" t="s">
        <x:v>157</x:v>
      </x:c>
      <x:c r="F21" s="18">
        <x:f>IFERROR(VLOOKUP(G21, $A$5:$B$52, 2, FALSE), "")</x:f>
      </x:c>
      <x:c r="G21" s="17">
        <x:v>5</x:v>
      </x:c>
      <x:c r="H21" s="17" t="s">
        <x:v>59</x:v>
      </x:c>
      <x:c r="I21" s="17">
        <x:v>17</x:v>
      </x:c>
      <x:c r="J21" s="18" t="s">
        <x:v>208</x:v>
      </x:c>
      <x:c r="K21" s="18" t="s">
        <x:v>93</x:v>
      </x:c>
      <x:c r="L21" s="17" t="s">
        <x:v>117</x:v>
      </x:c>
      <x:c r="M21" s="17">
        <x:v>246</x:v>
      </x:c>
      <x:c r="N21" s="18">
        <x:f>IFERROR(VLOOKUP(G21, $A$5:$C$52, 3, FALSE), "")</x:f>
      </x:c>
      <x:c r="O21" s="18" t="s">
        <x:v>203</x:v>
      </x:c>
      <x:c r="P21" s="17" t="s">
        <x:v>203</x:v>
      </x:c>
      <x:c r="Q21" s="17">
        <x:v>16</x:v>
      </x:c>
      <x:c r="R21" s="18" t="s">
        <x:v>447</x:v>
      </x:c>
      <x:c r="S21" s="17" t="s">
        <x:v>448</x:v>
      </x:c>
      <x:c r="T21" s="17" t="s">
        <x:v>419</x:v>
      </x:c>
      <x:c r="U21" s="17">
        <x:v>5</x:v>
      </x:c>
      <x:c r="V21" s="18">
        <x:f>IFERROR(VLOOKUP(U21, $A$5:$B$52, 2, FALSE), "")</x:f>
      </x:c>
      <x:c r="W21" s="17" t="s">
        <x:v>59</x:v>
      </x:c>
      <x:c r="X21" s="17" t="s">
        <x:v>425</x:v>
      </x:c>
      <x:c r="Y21" s="17" t="s">
        <x:v>123</x:v>
      </x:c>
      <x:c r="Z21" s="18" t="s">
        <x:v>203</x:v>
      </x:c>
      <x:c r="AI21" s="18" t="s">
        <x:v>85</x:v>
      </x:c>
    </x:row>
    <x:row r="22" spans="1:39">
      <x:c r="A22" s="17">
        <x:v>18</x:v>
      </x:c>
      <x:c r="B22" s="18" t="s">
        <x:v>158</x:v>
      </x:c>
      <x:c r="C22" s="18" t="s">
        <x:v>32</x:v>
      </x:c>
      <x:c r="D22" s="17" t="s">
        <x:v>61</x:v>
      </x:c>
      <x:c r="E22" s="17" t="s">
        <x:v>159</x:v>
      </x:c>
      <x:c r="F22" s="18">
        <x:f>IFERROR(VLOOKUP(G22, $A$5:$B$52, 2, FALSE), "")</x:f>
      </x:c>
      <x:c r="G22" s="17">
        <x:v>5</x:v>
      </x:c>
      <x:c r="H22" s="17" t="s">
        <x:v>59</x:v>
      </x:c>
      <x:c r="I22" s="17">
        <x:v>18</x:v>
      </x:c>
      <x:c r="J22" s="18" t="s">
        <x:v>206</x:v>
      </x:c>
      <x:c r="K22" s="18" t="s">
        <x:v>59</x:v>
      </x:c>
      <x:c r="L22" s="17" t="s">
        <x:v>118</x:v>
      </x:c>
      <x:c r="M22" s="17">
        <x:v>261</x:v>
      </x:c>
      <x:c r="N22" s="18">
        <x:f>IFERROR(VLOOKUP(G22, $A$5:$C$52, 3, FALSE), "")</x:f>
      </x:c>
      <x:c r="O22" s="18" t="s">
        <x:v>203</x:v>
      </x:c>
      <x:c r="P22" s="17" t="s">
        <x:v>203</x:v>
      </x:c>
      <x:c r="Q22" s="17">
        <x:v>17</x:v>
      </x:c>
      <x:c r="R22" s="18" t="s">
        <x:v>426</x:v>
      </x:c>
      <x:c r="S22" s="17" t="s">
        <x:v>449</x:v>
      </x:c>
      <x:c r="T22" s="17" t="s">
        <x:v>419</x:v>
      </x:c>
      <x:c r="U22" s="17">
        <x:v>5</x:v>
      </x:c>
      <x:c r="V22" s="18">
        <x:f>IFERROR(VLOOKUP(U22, $A$5:$B$52, 2, FALSE), "")</x:f>
      </x:c>
      <x:c r="W22" s="17" t="s">
        <x:v>59</x:v>
      </x:c>
      <x:c r="X22" s="17" t="s">
        <x:v>428</x:v>
      </x:c>
      <x:c r="Y22" s="17" t="s">
        <x:v>123</x:v>
      </x:c>
      <x:c r="Z22" s="18" t="s">
        <x:v>203</x:v>
      </x:c>
      <x:c r="AI22" s="18" t="s">
        <x:v>86</x:v>
      </x:c>
    </x:row>
    <x:row r="23" spans="1:39">
      <x:c r="A23" s="17">
        <x:v>19</x:v>
      </x:c>
      <x:c r="B23" s="18" t="s">
        <x:v>160</x:v>
      </x:c>
      <x:c r="C23" s="18" t="s">
        <x:v>32</x:v>
      </x:c>
      <x:c r="D23" s="17" t="s">
        <x:v>61</x:v>
      </x:c>
      <x:c r="E23" s="17" t="s">
        <x:v>161</x:v>
      </x:c>
      <x:c r="F23" s="18">
        <x:f>IFERROR(VLOOKUP(G23, $A$5:$B$52, 2, FALSE), "")</x:f>
      </x:c>
      <x:c r="G23" s="17">
        <x:v>5</x:v>
      </x:c>
      <x:c r="H23" s="17" t="s">
        <x:v>59</x:v>
      </x:c>
      <x:c r="I23" s="17">
        <x:v>19</x:v>
      </x:c>
      <x:c r="J23" s="18" t="s">
        <x:v>217</x:v>
      </x:c>
      <x:c r="K23" s="18" t="s">
        <x:v>213</x:v>
      </x:c>
      <x:c r="L23" s="17" t="s">
        <x:v>118</x:v>
      </x:c>
      <x:c r="M23" s="17">
        <x:v>276</x:v>
      </x:c>
      <x:c r="N23" s="18">
        <x:f>IFERROR(VLOOKUP(G23, $A$5:$C$52, 3, FALSE), "")</x:f>
      </x:c>
      <x:c r="O23" s="18" t="s">
        <x:v>203</x:v>
      </x:c>
      <x:c r="P23" s="17" t="s">
        <x:v>203</x:v>
      </x:c>
      <x:c r="Q23" s="17">
        <x:v>18</x:v>
      </x:c>
      <x:c r="R23" s="18" t="s">
        <x:v>450</x:v>
      </x:c>
      <x:c r="S23" s="17" t="s">
        <x:v>451</x:v>
      </x:c>
      <x:c r="T23" s="17" t="s">
        <x:v>419</x:v>
      </x:c>
      <x:c r="U23" s="17">
        <x:v>6</x:v>
      </x:c>
      <x:c r="V23" s="18">
        <x:f>IFERROR(VLOOKUP(U23, $A$5:$B$52, 2, FALSE), "")</x:f>
      </x:c>
      <x:c r="W23" s="17" t="s">
        <x:v>59</x:v>
      </x:c>
      <x:c r="X23" s="17" t="s">
        <x:v>420</x:v>
      </x:c>
      <x:c r="Y23" s="17" t="s">
        <x:v>123</x:v>
      </x:c>
      <x:c r="Z23" s="18" t="s">
        <x:v>203</x:v>
      </x:c>
      <x:c r="AI23" s="18" t="s">
        <x:v>87</x:v>
      </x:c>
    </x:row>
    <x:row r="24" spans="1:39">
      <x:c r="A24" s="17">
        <x:v>20</x:v>
      </x:c>
      <x:c r="B24" s="18" t="s">
        <x:v>162</x:v>
      </x:c>
      <x:c r="C24" s="18" t="s">
        <x:v>32</x:v>
      </x:c>
      <x:c r="D24" s="17" t="s">
        <x:v>61</x:v>
      </x:c>
      <x:c r="E24" s="17" t="s">
        <x:v>163</x:v>
      </x:c>
      <x:c r="F24" s="18">
        <x:f>IFERROR(VLOOKUP(G24, $A$5:$B$52, 2, FALSE), "")</x:f>
      </x:c>
      <x:c r="G24" s="17">
        <x:v>5</x:v>
      </x:c>
      <x:c r="H24" s="17" t="s">
        <x:v>59</x:v>
      </x:c>
      <x:c r="I24" s="17">
        <x:v>20</x:v>
      </x:c>
      <x:c r="J24" s="18" t="s">
        <x:v>218</x:v>
      </x:c>
      <x:c r="K24" s="18" t="s">
        <x:v>95</x:v>
      </x:c>
      <x:c r="L24" s="17" t="s">
        <x:v>119</x:v>
      </x:c>
      <x:c r="M24" s="17">
        <x:v>291</x:v>
      </x:c>
      <x:c r="N24" s="18">
        <x:f>IFERROR(VLOOKUP(G24, $A$5:$C$52, 3, FALSE), "")</x:f>
      </x:c>
      <x:c r="O24" s="18" t="s">
        <x:v>203</x:v>
      </x:c>
      <x:c r="P24" s="17" t="s">
        <x:v>203</x:v>
      </x:c>
      <x:c r="Q24" s="17">
        <x:v>19</x:v>
      </x:c>
      <x:c r="R24" s="18" t="s">
        <x:v>452</x:v>
      </x:c>
      <x:c r="S24" s="17" t="s">
        <x:v>453</x:v>
      </x:c>
      <x:c r="T24" s="17" t="s">
        <x:v>419</x:v>
      </x:c>
      <x:c r="U24" s="17">
        <x:v>6</x:v>
      </x:c>
      <x:c r="V24" s="18">
        <x:f>IFERROR(VLOOKUP(U24, $A$5:$B$52, 2, FALSE), "")</x:f>
      </x:c>
      <x:c r="W24" s="17" t="s">
        <x:v>59</x:v>
      </x:c>
      <x:c r="X24" s="17" t="s">
        <x:v>422</x:v>
      </x:c>
      <x:c r="Y24" s="17" t="s">
        <x:v>123</x:v>
      </x:c>
      <x:c r="Z24" s="18" t="s">
        <x:v>203</x:v>
      </x:c>
      <x:c r="AI24" s="18" t="s">
        <x:v>88</x:v>
      </x:c>
    </x:row>
    <x:row r="25" spans="1:39">
      <x:c r="A25" s="17">
        <x:v>21</x:v>
      </x:c>
      <x:c r="B25" s="18" t="s">
        <x:v>164</x:v>
      </x:c>
      <x:c r="C25" s="18" t="s">
        <x:v>34</x:v>
      </x:c>
      <x:c r="D25" s="17" t="s">
        <x:v>61</x:v>
      </x:c>
      <x:c r="E25" s="17" t="s">
        <x:v>165</x:v>
      </x:c>
      <x:c r="F25" s="18">
        <x:f>IFERROR(VLOOKUP(G25, $A$5:$B$52, 2, FALSE), "")</x:f>
      </x:c>
      <x:c r="G25" s="17">
        <x:v>5</x:v>
      </x:c>
      <x:c r="H25" s="17" t="s">
        <x:v>59</x:v>
      </x:c>
      <x:c r="I25" s="17">
        <x:v>21</x:v>
      </x:c>
      <x:c r="J25" s="18" t="s">
        <x:v>219</x:v>
      </x:c>
      <x:c r="K25" s="18" t="s">
        <x:v>96</x:v>
      </x:c>
      <x:c r="L25" s="17" t="s">
        <x:v>119</x:v>
      </x:c>
      <x:c r="M25" s="17">
        <x:v>306</x:v>
      </x:c>
      <x:c r="N25" s="18">
        <x:f>IFERROR(VLOOKUP(G25, $A$5:$C$52, 3, FALSE), "")</x:f>
      </x:c>
      <x:c r="O25" s="18" t="s">
        <x:v>203</x:v>
      </x:c>
      <x:c r="P25" s="17" t="s">
        <x:v>203</x:v>
      </x:c>
      <x:c r="Q25" s="17">
        <x:v>20</x:v>
      </x:c>
      <x:c r="R25" s="18" t="s">
        <x:v>454</x:v>
      </x:c>
      <x:c r="S25" s="17" t="s">
        <x:v>455</x:v>
      </x:c>
      <x:c r="T25" s="17" t="s">
        <x:v>419</x:v>
      </x:c>
      <x:c r="U25" s="17">
        <x:v>6</x:v>
      </x:c>
      <x:c r="V25" s="18">
        <x:f>IFERROR(VLOOKUP(U25, $A$5:$B$52, 2, FALSE), "")</x:f>
      </x:c>
      <x:c r="W25" s="17" t="s">
        <x:v>59</x:v>
      </x:c>
      <x:c r="X25" s="17" t="s">
        <x:v>425</x:v>
      </x:c>
      <x:c r="Y25" s="17" t="s">
        <x:v>123</x:v>
      </x:c>
      <x:c r="Z25" s="18" t="s">
        <x:v>203</x:v>
      </x:c>
      <x:c r="AI25" s="18" t="s">
        <x:v>89</x:v>
      </x:c>
    </x:row>
    <x:row r="26" spans="1:39">
      <x:c r="A26" s="17">
        <x:v>22</x:v>
      </x:c>
      <x:c r="B26" s="18" t="s">
        <x:v>166</x:v>
      </x:c>
      <x:c r="C26" s="18" t="s">
        <x:v>36</x:v>
      </x:c>
      <x:c r="D26" s="17" t="s">
        <x:v>61</x:v>
      </x:c>
      <x:c r="E26" s="17" t="s">
        <x:v>167</x:v>
      </x:c>
      <x:c r="F26" s="18">
        <x:f>IFERROR(VLOOKUP(G26, $A$5:$B$52, 2, FALSE), "")</x:f>
      </x:c>
      <x:c r="G26" s="17">
        <x:v>5</x:v>
      </x:c>
      <x:c r="H26" s="17" t="s">
        <x:v>59</x:v>
      </x:c>
      <x:c r="I26" s="17">
        <x:v>22</x:v>
      </x:c>
      <x:c r="J26" s="18" t="s">
        <x:v>220</x:v>
      </x:c>
      <x:c r="K26" s="18" t="s">
        <x:v>91</x:v>
      </x:c>
      <x:c r="L26" s="17" t="s">
        <x:v>119</x:v>
      </x:c>
      <x:c r="M26" s="17">
        <x:v>321</x:v>
      </x:c>
      <x:c r="N26" s="18">
        <x:f>IFERROR(VLOOKUP(G26, $A$5:$C$52, 3, FALSE), "")</x:f>
      </x:c>
      <x:c r="O26" s="18" t="s">
        <x:v>203</x:v>
      </x:c>
      <x:c r="P26" s="17" t="s">
        <x:v>203</x:v>
      </x:c>
      <x:c r="Q26" s="17">
        <x:v>21</x:v>
      </x:c>
      <x:c r="R26" s="18" t="s">
        <x:v>456</x:v>
      </x:c>
      <x:c r="S26" s="17" t="s">
        <x:v>159</x:v>
      </x:c>
      <x:c r="T26" s="17" t="s">
        <x:v>419</x:v>
      </x:c>
      <x:c r="U26" s="17">
        <x:v>7</x:v>
      </x:c>
      <x:c r="V26" s="18">
        <x:f>IFERROR(VLOOKUP(U26, $A$5:$B$52, 2, FALSE), "")</x:f>
      </x:c>
      <x:c r="W26" s="17" t="s">
        <x:v>59</x:v>
      </x:c>
      <x:c r="X26" s="17" t="s">
        <x:v>420</x:v>
      </x:c>
      <x:c r="Y26" s="17" t="s">
        <x:v>123</x:v>
      </x:c>
      <x:c r="Z26" s="18" t="s">
        <x:v>203</x:v>
      </x:c>
      <x:c r="AI26" s="18" t="s">
        <x:v>90</x:v>
      </x:c>
    </x:row>
    <x:row r="27" spans="1:39">
      <x:c r="A27" s="17">
        <x:v>23</x:v>
      </x:c>
      <x:c r="B27" s="18" t="s">
        <x:v>168</x:v>
      </x:c>
      <x:c r="C27" s="18" t="s">
        <x:v>36</x:v>
      </x:c>
      <x:c r="D27" s="17" t="s">
        <x:v>61</x:v>
      </x:c>
      <x:c r="E27" s="17" t="s">
        <x:v>169</x:v>
      </x:c>
      <x:c r="F27" s="18">
        <x:f>IFERROR(VLOOKUP(G27, $A$5:$B$52, 2, FALSE), "")</x:f>
      </x:c>
      <x:c r="G27" s="17">
        <x:v>6</x:v>
      </x:c>
      <x:c r="H27" s="17" t="s">
        <x:v>59</x:v>
      </x:c>
      <x:c r="I27" s="17">
        <x:v>23</x:v>
      </x:c>
      <x:c r="J27" s="18" t="s">
        <x:v>210</x:v>
      </x:c>
      <x:c r="K27" s="18" t="s">
        <x:v>59</x:v>
      </x:c>
      <x:c r="L27" s="17" t="s">
        <x:v>120</x:v>
      </x:c>
      <x:c r="M27" s="17">
        <x:v>336</x:v>
      </x:c>
      <x:c r="N27" s="18">
        <x:f>IFERROR(VLOOKUP(G27, $A$5:$C$52, 3, FALSE), "")</x:f>
      </x:c>
      <x:c r="O27" s="18" t="s">
        <x:v>203</x:v>
      </x:c>
      <x:c r="P27" s="17" t="s">
        <x:v>203</x:v>
      </x:c>
      <x:c r="Q27" s="17">
        <x:v>22</x:v>
      </x:c>
      <x:c r="R27" s="18" t="s">
        <x:v>457</x:v>
      </x:c>
      <x:c r="S27" s="17" t="s">
        <x:v>458</x:v>
      </x:c>
      <x:c r="T27" s="17" t="s">
        <x:v>419</x:v>
      </x:c>
      <x:c r="U27" s="17">
        <x:v>7</x:v>
      </x:c>
      <x:c r="V27" s="18">
        <x:f>IFERROR(VLOOKUP(U27, $A$5:$B$52, 2, FALSE), "")</x:f>
      </x:c>
      <x:c r="W27" s="17" t="s">
        <x:v>59</x:v>
      </x:c>
      <x:c r="X27" s="17" t="s">
        <x:v>422</x:v>
      </x:c>
      <x:c r="Y27" s="17" t="s">
        <x:v>123</x:v>
      </x:c>
      <x:c r="Z27" s="18" t="s">
        <x:v>203</x:v>
      </x:c>
      <x:c r="AI27" s="18" t="s">
        <x:v>91</x:v>
      </x:c>
    </x:row>
    <x:row r="28" spans="1:39">
      <x:c r="A28" s="17">
        <x:v>24</x:v>
      </x:c>
      <x:c r="B28" s="18" t="s">
        <x:v>170</x:v>
      </x:c>
      <x:c r="C28" s="18" t="s">
        <x:v>36</x:v>
      </x:c>
      <x:c r="D28" s="17" t="s">
        <x:v>61</x:v>
      </x:c>
      <x:c r="E28" s="17" t="s">
        <x:v>171</x:v>
      </x:c>
      <x:c r="F28" s="18">
        <x:f>IFERROR(VLOOKUP(G28, $A$5:$B$52, 2, FALSE), "")</x:f>
      </x:c>
      <x:c r="G28" s="17">
        <x:v>6</x:v>
      </x:c>
      <x:c r="H28" s="17" t="s">
        <x:v>59</x:v>
      </x:c>
      <x:c r="I28" s="17">
        <x:v>24</x:v>
      </x:c>
      <x:c r="J28" s="18" t="s">
        <x:v>211</x:v>
      </x:c>
      <x:c r="K28" s="18" t="s">
        <x:v>59</x:v>
      </x:c>
      <x:c r="L28" s="17" t="s">
        <x:v>121</x:v>
      </x:c>
      <x:c r="M28" s="17">
        <x:v>351</x:v>
      </x:c>
      <x:c r="N28" s="18">
        <x:f>IFERROR(VLOOKUP(G28, $A$5:$C$52, 3, FALSE), "")</x:f>
      </x:c>
      <x:c r="O28" s="18" t="s">
        <x:v>203</x:v>
      </x:c>
      <x:c r="P28" s="17" t="s">
        <x:v>203</x:v>
      </x:c>
      <x:c r="Q28" s="17">
        <x:v>23</x:v>
      </x:c>
      <x:c r="R28" s="18" t="s">
        <x:v>459</x:v>
      </x:c>
      <x:c r="S28" s="17" t="s">
        <x:v>460</x:v>
      </x:c>
      <x:c r="T28" s="17" t="s">
        <x:v>419</x:v>
      </x:c>
      <x:c r="U28" s="17">
        <x:v>7</x:v>
      </x:c>
      <x:c r="V28" s="18">
        <x:f>IFERROR(VLOOKUP(U28, $A$5:$B$52, 2, FALSE), "")</x:f>
      </x:c>
      <x:c r="W28" s="17" t="s">
        <x:v>59</x:v>
      </x:c>
      <x:c r="X28" s="17" t="s">
        <x:v>425</x:v>
      </x:c>
      <x:c r="Y28" s="17" t="s">
        <x:v>123</x:v>
      </x:c>
      <x:c r="Z28" s="18" t="s">
        <x:v>203</x:v>
      </x:c>
      <x:c r="AI28" s="18" t="s">
        <x:v>92</x:v>
      </x:c>
    </x:row>
    <x:row r="29" spans="1:39">
      <x:c r="A29" s="17">
        <x:v>25</x:v>
      </x:c>
      <x:c r="B29" s="18" t="s">
        <x:v>172</x:v>
      </x:c>
      <x:c r="C29" s="18" t="s">
        <x:v>56</x:v>
      </x:c>
      <x:c r="D29" s="17" t="s">
        <x:v>62</x:v>
      </x:c>
      <x:c r="E29" s="17" t="s">
        <x:v>173</x:v>
      </x:c>
      <x:c r="F29" s="18">
        <x:f>IFERROR(VLOOKUP(G29, $A$5:$B$52, 2, FALSE), "")</x:f>
      </x:c>
      <x:c r="G29" s="17">
        <x:v>6</x:v>
      </x:c>
      <x:c r="H29" s="17" t="s">
        <x:v>59</x:v>
      </x:c>
      <x:c r="I29" s="17">
        <x:v>25</x:v>
      </x:c>
      <x:c r="J29" s="18" t="s">
        <x:v>221</x:v>
      </x:c>
      <x:c r="K29" s="18" t="s">
        <x:v>91</x:v>
      </x:c>
      <x:c r="L29" s="17" t="s">
        <x:v>121</x:v>
      </x:c>
      <x:c r="M29" s="17">
        <x:v>366</x:v>
      </x:c>
      <x:c r="N29" s="18">
        <x:f>IFERROR(VLOOKUP(G29, $A$5:$C$52, 3, FALSE), "")</x:f>
      </x:c>
      <x:c r="O29" s="18" t="s">
        <x:v>203</x:v>
      </x:c>
      <x:c r="P29" s="17" t="s">
        <x:v>203</x:v>
      </x:c>
      <x:c r="Q29" s="17">
        <x:v>24</x:v>
      </x:c>
      <x:c r="R29" s="18" t="s">
        <x:v>461</x:v>
      </x:c>
      <x:c r="S29" s="17" t="s">
        <x:v>462</x:v>
      </x:c>
      <x:c r="T29" s="17" t="s">
        <x:v>419</x:v>
      </x:c>
      <x:c r="U29" s="17">
        <x:v>8</x:v>
      </x:c>
      <x:c r="V29" s="18">
        <x:f>IFERROR(VLOOKUP(U29, $A$5:$B$52, 2, FALSE), "")</x:f>
      </x:c>
      <x:c r="W29" s="17" t="s">
        <x:v>59</x:v>
      </x:c>
      <x:c r="X29" s="17" t="s">
        <x:v>420</x:v>
      </x:c>
      <x:c r="Y29" s="17" t="s">
        <x:v>123</x:v>
      </x:c>
      <x:c r="Z29" s="18" t="s">
        <x:v>203</x:v>
      </x:c>
      <x:c r="AI29" s="18" t="s">
        <x:v>93</x:v>
      </x:c>
    </x:row>
    <x:row r="30" spans="1:39">
      <x:c r="A30" s="17">
        <x:v>26</x:v>
      </x:c>
      <x:c r="B30" s="18" t="s">
        <x:v>174</x:v>
      </x:c>
      <x:c r="C30" s="18" t="s">
        <x:v>56</x:v>
      </x:c>
      <x:c r="D30" s="17" t="s">
        <x:v>62</x:v>
      </x:c>
      <x:c r="E30" s="17" t="s">
        <x:v>175</x:v>
      </x:c>
      <x:c r="F30" s="18">
        <x:f>IFERROR(VLOOKUP(G30, $A$5:$B$52, 2, FALSE), "")</x:f>
      </x:c>
      <x:c r="G30" s="17">
        <x:v>6</x:v>
      </x:c>
      <x:c r="H30" s="17" t="s">
        <x:v>59</x:v>
      </x:c>
      <x:c r="I30" s="17">
        <x:v>26</x:v>
      </x:c>
      <x:c r="J30" s="18" t="s">
        <x:v>222</x:v>
      </x:c>
      <x:c r="K30" s="18" t="s">
        <x:v>59</x:v>
      </x:c>
      <x:c r="L30" s="17" t="s">
        <x:v>122</x:v>
      </x:c>
      <x:c r="M30" s="17">
        <x:v>381</x:v>
      </x:c>
      <x:c r="N30" s="18">
        <x:f>IFERROR(VLOOKUP(G30, $A$5:$C$52, 3, FALSE), "")</x:f>
      </x:c>
      <x:c r="O30" s="18" t="s">
        <x:v>203</x:v>
      </x:c>
      <x:c r="P30" s="17" t="s">
        <x:v>203</x:v>
      </x:c>
      <x:c r="Q30" s="17">
        <x:v>26</x:v>
      </x:c>
      <x:c r="R30" s="18" t="s">
        <x:v>463</x:v>
      </x:c>
      <x:c r="S30" s="17" t="s">
        <x:v>464</x:v>
      </x:c>
      <x:c r="T30" s="17" t="s">
        <x:v>419</x:v>
      </x:c>
      <x:c r="U30" s="17">
        <x:v>8</x:v>
      </x:c>
      <x:c r="V30" s="18">
        <x:f>IFERROR(VLOOKUP(U30, $A$5:$B$52, 2, FALSE), "")</x:f>
      </x:c>
      <x:c r="W30" s="17" t="s">
        <x:v>59</x:v>
      </x:c>
      <x:c r="X30" s="17" t="s">
        <x:v>425</x:v>
      </x:c>
      <x:c r="Y30" s="17" t="s">
        <x:v>123</x:v>
      </x:c>
      <x:c r="Z30" s="18" t="s">
        <x:v>203</x:v>
      </x:c>
      <x:c r="AI30" s="18" t="s">
        <x:v>68</x:v>
      </x:c>
    </x:row>
    <x:row r="31" spans="1:39">
      <x:c r="A31" s="17">
        <x:v>27</x:v>
      </x:c>
      <x:c r="B31" s="18" t="s">
        <x:v>176</x:v>
      </x:c>
      <x:c r="C31" s="18" t="s">
        <x:v>38</x:v>
      </x:c>
      <x:c r="D31" s="17" t="s">
        <x:v>63</x:v>
      </x:c>
      <x:c r="E31" s="17" t="s">
        <x:v>177</x:v>
      </x:c>
      <x:c r="F31" s="18">
        <x:f>IFERROR(VLOOKUP(G31, $A$5:$B$52, 2, FALSE), "")</x:f>
      </x:c>
      <x:c r="G31" s="17">
        <x:v>6</x:v>
      </x:c>
      <x:c r="H31" s="17" t="s">
        <x:v>59</x:v>
      </x:c>
      <x:c r="I31" s="17">
        <x:v>27</x:v>
      </x:c>
      <x:c r="J31" s="18" t="s">
        <x:v>223</x:v>
      </x:c>
      <x:c r="K31" s="18" t="s">
        <x:v>93</x:v>
      </x:c>
      <x:c r="L31" s="17" t="s">
        <x:v>122</x:v>
      </x:c>
      <x:c r="M31" s="17">
        <x:v>396</x:v>
      </x:c>
      <x:c r="N31" s="18">
        <x:f>IFERROR(VLOOKUP(G31, $A$5:$C$52, 3, FALSE), "")</x:f>
      </x:c>
      <x:c r="O31" s="18" t="s">
        <x:v>203</x:v>
      </x:c>
      <x:c r="P31" s="17" t="s">
        <x:v>203</x:v>
      </x:c>
      <x:c r="Q31" s="17">
        <x:v>27</x:v>
      </x:c>
      <x:c r="R31" s="18" t="s">
        <x:v>465</x:v>
      </x:c>
      <x:c r="S31" s="17" t="s">
        <x:v>466</x:v>
      </x:c>
      <x:c r="T31" s="17" t="s">
        <x:v>419</x:v>
      </x:c>
      <x:c r="U31" s="17">
        <x:v>8</x:v>
      </x:c>
      <x:c r="V31" s="18">
        <x:f>IFERROR(VLOOKUP(U31, $A$5:$B$52, 2, FALSE), "")</x:f>
      </x:c>
      <x:c r="W31" s="17" t="s">
        <x:v>59</x:v>
      </x:c>
      <x:c r="X31" s="17" t="s">
        <x:v>428</x:v>
      </x:c>
      <x:c r="Y31" s="17" t="s">
        <x:v>123</x:v>
      </x:c>
      <x:c r="Z31" s="18" t="s">
        <x:v>203</x:v>
      </x:c>
      <x:c r="AI31" s="18" t="s">
        <x:v>59</x:v>
      </x:c>
    </x:row>
    <x:row r="32" spans="1:39">
      <x:c r="A32" s="17">
        <x:v>28</x:v>
      </x:c>
      <x:c r="B32" s="18" t="s">
        <x:v>178</x:v>
      </x:c>
      <x:c r="C32" s="18" t="s">
        <x:v>38</x:v>
      </x:c>
      <x:c r="D32" s="17" t="s">
        <x:v>63</x:v>
      </x:c>
      <x:c r="E32" s="17" t="s">
        <x:v>179</x:v>
      </x:c>
      <x:c r="F32" s="18">
        <x:f>IFERROR(VLOOKUP(G32, $A$5:$B$52, 2, FALSE), "")</x:f>
      </x:c>
      <x:c r="G32" s="17">
        <x:v>6</x:v>
      </x:c>
      <x:c r="H32" s="17" t="s">
        <x:v>59</x:v>
      </x:c>
      <x:c r="I32" s="17">
        <x:v>28</x:v>
      </x:c>
      <x:c r="J32" s="18" t="s">
        <x:v>212</x:v>
      </x:c>
      <x:c r="K32" s="18" t="s">
        <x:v>213</x:v>
      </x:c>
      <x:c r="L32" s="17" t="s">
        <x:v>122</x:v>
      </x:c>
      <x:c r="M32" s="17">
        <x:v>411</x:v>
      </x:c>
      <x:c r="N32" s="18">
        <x:f>IFERROR(VLOOKUP(G32, $A$5:$C$52, 3, FALSE), "")</x:f>
      </x:c>
      <x:c r="O32" s="18" t="s">
        <x:v>203</x:v>
      </x:c>
      <x:c r="P32" s="17" t="s">
        <x:v>203</x:v>
      </x:c>
      <x:c r="Q32" s="17">
        <x:v>28</x:v>
      </x:c>
      <x:c r="R32" s="18" t="s">
        <x:v>467</x:v>
      </x:c>
      <x:c r="S32" s="17" t="s">
        <x:v>161</x:v>
      </x:c>
      <x:c r="T32" s="17" t="s">
        <x:v>419</x:v>
      </x:c>
      <x:c r="U32" s="17">
        <x:v>8</x:v>
      </x:c>
      <x:c r="V32" s="18">
        <x:f>IFERROR(VLOOKUP(U32, $A$5:$B$52, 2, FALSE), "")</x:f>
      </x:c>
      <x:c r="W32" s="17" t="s">
        <x:v>59</x:v>
      </x:c>
      <x:c r="X32" s="17" t="s">
        <x:v>422</x:v>
      </x:c>
      <x:c r="Y32" s="17" t="s">
        <x:v>123</x:v>
      </x:c>
      <x:c r="Z32" s="18" t="s">
        <x:v>203</x:v>
      </x:c>
      <x:c r="AI32" s="18" t="s">
        <x:v>94</x:v>
      </x:c>
    </x:row>
    <x:row r="33" spans="1:39">
      <x:c r="A33" s="17">
        <x:v>29</x:v>
      </x:c>
      <x:c r="B33" s="18" t="s">
        <x:v>180</x:v>
      </x:c>
      <x:c r="C33" s="18" t="s">
        <x:v>38</x:v>
      </x:c>
      <x:c r="D33" s="17" t="s">
        <x:v>63</x:v>
      </x:c>
      <x:c r="E33" s="17" t="s">
        <x:v>181</x:v>
      </x:c>
      <x:c r="F33" s="18">
        <x:f>IFERROR(VLOOKUP(G33, $A$5:$B$52, 2, FALSE), "")</x:f>
      </x:c>
      <x:c r="G33" s="17">
        <x:v>7</x:v>
      </x:c>
      <x:c r="H33" s="17" t="s">
        <x:v>59</x:v>
      </x:c>
      <x:c r="I33" s="17">
        <x:v>29</x:v>
      </x:c>
      <x:c r="J33" s="18" t="s">
        <x:v>202</x:v>
      </x:c>
      <x:c r="K33" s="18" t="s">
        <x:v>59</x:v>
      </x:c>
      <x:c r="L33" s="17" t="s">
        <x:v>117</x:v>
      </x:c>
      <x:c r="M33" s="17">
        <x:v>426</x:v>
      </x:c>
      <x:c r="N33" s="18">
        <x:f>IFERROR(VLOOKUP(G33, $A$5:$C$52, 3, FALSE), "")</x:f>
      </x:c>
      <x:c r="O33" s="18" t="s">
        <x:v>203</x:v>
      </x:c>
      <x:c r="P33" s="17" t="s">
        <x:v>203</x:v>
      </x:c>
      <x:c r="Q33" s="17">
        <x:v>29</x:v>
      </x:c>
      <x:c r="R33" s="18" t="s">
        <x:v>468</x:v>
      </x:c>
      <x:c r="S33" s="17" t="s">
        <x:v>469</x:v>
      </x:c>
      <x:c r="T33" s="17" t="s">
        <x:v>419</x:v>
      </x:c>
      <x:c r="U33" s="17">
        <x:v>9</x:v>
      </x:c>
      <x:c r="V33" s="18">
        <x:f>IFERROR(VLOOKUP(U33, $A$5:$B$52, 2, FALSE), "")</x:f>
      </x:c>
      <x:c r="W33" s="17" t="s">
        <x:v>60</x:v>
      </x:c>
      <x:c r="X33" s="17" t="s">
        <x:v>420</x:v>
      </x:c>
      <x:c r="Y33" s="17" t="s">
        <x:v>123</x:v>
      </x:c>
      <x:c r="Z33" s="18" t="s">
        <x:v>203</x:v>
      </x:c>
      <x:c r="AI33" s="18" t="s">
        <x:v>95</x:v>
      </x:c>
    </x:row>
    <x:row r="34" spans="1:39">
      <x:c r="A34" s="17">
        <x:v>30</x:v>
      </x:c>
      <x:c r="B34" s="18" t="s">
        <x:v>182</x:v>
      </x:c>
      <x:c r="C34" s="18" t="s">
        <x:v>38</x:v>
      </x:c>
      <x:c r="D34" s="17" t="s">
        <x:v>63</x:v>
      </x:c>
      <x:c r="E34" s="17" t="s">
        <x:v>183</x:v>
      </x:c>
      <x:c r="F34" s="18">
        <x:f>IFERROR(VLOOKUP(G34, $A$5:$B$52, 2, FALSE), "")</x:f>
      </x:c>
      <x:c r="G34" s="17">
        <x:v>7</x:v>
      </x:c>
      <x:c r="H34" s="17" t="s">
        <x:v>59</x:v>
      </x:c>
      <x:c r="I34" s="17">
        <x:v>30</x:v>
      </x:c>
      <x:c r="J34" s="18" t="s">
        <x:v>206</x:v>
      </x:c>
      <x:c r="K34" s="18" t="s">
        <x:v>59</x:v>
      </x:c>
      <x:c r="L34" s="17" t="s">
        <x:v>118</x:v>
      </x:c>
      <x:c r="M34" s="17">
        <x:v>441</x:v>
      </x:c>
      <x:c r="N34" s="18">
        <x:f>IFERROR(VLOOKUP(G34, $A$5:$C$52, 3, FALSE), "")</x:f>
      </x:c>
      <x:c r="O34" s="18" t="s">
        <x:v>203</x:v>
      </x:c>
      <x:c r="P34" s="17" t="s">
        <x:v>203</x:v>
      </x:c>
      <x:c r="Q34" s="17">
        <x:v>30</x:v>
      </x:c>
      <x:c r="R34" s="18" t="s">
        <x:v>470</x:v>
      </x:c>
      <x:c r="S34" s="17" t="s">
        <x:v>471</x:v>
      </x:c>
      <x:c r="T34" s="17" t="s">
        <x:v>419</x:v>
      </x:c>
      <x:c r="U34" s="17">
        <x:v>9</x:v>
      </x:c>
      <x:c r="V34" s="18">
        <x:f>IFERROR(VLOOKUP(U34, $A$5:$B$52, 2, FALSE), "")</x:f>
      </x:c>
      <x:c r="W34" s="17" t="s">
        <x:v>60</x:v>
      </x:c>
      <x:c r="X34" s="17" t="s">
        <x:v>425</x:v>
      </x:c>
      <x:c r="Y34" s="17" t="s">
        <x:v>123</x:v>
      </x:c>
      <x:c r="Z34" s="18" t="s">
        <x:v>203</x:v>
      </x:c>
      <x:c r="AI34" s="18" t="s">
        <x:v>96</x:v>
      </x:c>
    </x:row>
    <x:row r="35" spans="1:39">
      <x:c r="A35" s="17">
        <x:v>31</x:v>
      </x:c>
      <x:c r="B35" s="18" t="s">
        <x:v>184</x:v>
      </x:c>
      <x:c r="C35" s="18" t="s">
        <x:v>40</x:v>
      </x:c>
      <x:c r="D35" s="17" t="s">
        <x:v>63</x:v>
      </x:c>
      <x:c r="E35" s="17" t="s">
        <x:v>177</x:v>
      </x:c>
      <x:c r="F35" s="18">
        <x:f>IFERROR(VLOOKUP(G35, $A$5:$B$52, 2, FALSE), "")</x:f>
      </x:c>
      <x:c r="G35" s="17">
        <x:v>7</x:v>
      </x:c>
      <x:c r="H35" s="17" t="s">
        <x:v>59</x:v>
      </x:c>
      <x:c r="I35" s="17">
        <x:v>31</x:v>
      </x:c>
      <x:c r="J35" s="18" t="s">
        <x:v>224</x:v>
      </x:c>
      <x:c r="K35" s="18" t="s">
        <x:v>92</x:v>
      </x:c>
      <x:c r="L35" s="17" t="s">
        <x:v>118</x:v>
      </x:c>
      <x:c r="M35" s="17">
        <x:v>456</x:v>
      </x:c>
      <x:c r="N35" s="18">
        <x:f>IFERROR(VLOOKUP(G35, $A$5:$C$52, 3, FALSE), "")</x:f>
      </x:c>
      <x:c r="O35" s="18" t="s">
        <x:v>203</x:v>
      </x:c>
      <x:c r="P35" s="17" t="s">
        <x:v>203</x:v>
      </x:c>
      <x:c r="Q35" s="17">
        <x:v>31</x:v>
      </x:c>
      <x:c r="R35" s="18" t="s">
        <x:v>472</x:v>
      </x:c>
      <x:c r="S35" s="17" t="s">
        <x:v>473</x:v>
      </x:c>
      <x:c r="T35" s="17" t="s">
        <x:v>419</x:v>
      </x:c>
      <x:c r="U35" s="17">
        <x:v>9</x:v>
      </x:c>
      <x:c r="V35" s="18">
        <x:f>IFERROR(VLOOKUP(U35, $A$5:$B$52, 2, FALSE), "")</x:f>
      </x:c>
      <x:c r="W35" s="17" t="s">
        <x:v>60</x:v>
      </x:c>
      <x:c r="X35" s="17" t="s">
        <x:v>428</x:v>
      </x:c>
      <x:c r="Y35" s="17" t="s">
        <x:v>123</x:v>
      </x:c>
      <x:c r="Z35" s="18" t="s">
        <x:v>203</x:v>
      </x:c>
      <x:c r="AI35" s="18" t="s">
        <x:v>97</x:v>
      </x:c>
    </x:row>
    <x:row r="36" spans="1:39">
      <x:c r="A36" s="17">
        <x:v>32</x:v>
      </x:c>
      <x:c r="B36" s="18" t="s">
        <x:v>185</x:v>
      </x:c>
      <x:c r="C36" s="18" t="s">
        <x:v>40</x:v>
      </x:c>
      <x:c r="D36" s="17" t="s">
        <x:v>63</x:v>
      </x:c>
      <x:c r="E36" s="17" t="s">
        <x:v>179</x:v>
      </x:c>
      <x:c r="F36" s="18">
        <x:f>IFERROR(VLOOKUP(G36, $A$5:$B$52, 2, FALSE), "")</x:f>
      </x:c>
      <x:c r="G36" s="17">
        <x:v>7</x:v>
      </x:c>
      <x:c r="H36" s="17" t="s">
        <x:v>59</x:v>
      </x:c>
      <x:c r="I36" s="17">
        <x:v>32</x:v>
      </x:c>
      <x:c r="J36" s="18" t="s">
        <x:v>225</x:v>
      </x:c>
      <x:c r="K36" s="18" t="s">
        <x:v>95</x:v>
      </x:c>
      <x:c r="L36" s="17" t="s">
        <x:v>119</x:v>
      </x:c>
      <x:c r="M36" s="17">
        <x:v>471</x:v>
      </x:c>
      <x:c r="N36" s="18">
        <x:f>IFERROR(VLOOKUP(G36, $A$5:$C$52, 3, FALSE), "")</x:f>
      </x:c>
      <x:c r="O36" s="18" t="s">
        <x:v>203</x:v>
      </x:c>
      <x:c r="P36" s="17" t="s">
        <x:v>203</x:v>
      </x:c>
      <x:c r="Q36" s="17">
        <x:v>55</x:v>
      </x:c>
      <x:c r="R36" s="18" t="s">
        <x:v>474</x:v>
      </x:c>
      <x:c r="S36" s="17" t="s">
        <x:v>475</x:v>
      </x:c>
      <x:c r="T36" s="17" t="s">
        <x:v>419</x:v>
      </x:c>
      <x:c r="U36" s="17">
        <x:v>9</x:v>
      </x:c>
      <x:c r="V36" s="18">
        <x:f>IFERROR(VLOOKUP(U36, $A$5:$B$52, 2, FALSE), "")</x:f>
      </x:c>
      <x:c r="W36" s="17" t="s">
        <x:v>60</x:v>
      </x:c>
      <x:c r="X36" s="17" t="s">
        <x:v>422</x:v>
      </x:c>
      <x:c r="Y36" s="17" t="s">
        <x:v>123</x:v>
      </x:c>
      <x:c r="Z36" s="18" t="s">
        <x:v>203</x:v>
      </x:c>
      <x:c r="AI36" s="18" t="s">
        <x:v>98</x:v>
      </x:c>
    </x:row>
    <x:row r="37" spans="1:39">
      <x:c r="A37" s="17">
        <x:v>33</x:v>
      </x:c>
      <x:c r="B37" s="18" t="s">
        <x:v>186</x:v>
      </x:c>
      <x:c r="C37" s="18" t="s">
        <x:v>40</x:v>
      </x:c>
      <x:c r="D37" s="17" t="s">
        <x:v>63</x:v>
      </x:c>
      <x:c r="E37" s="17" t="s">
        <x:v>181</x:v>
      </x:c>
      <x:c r="F37" s="18">
        <x:f>IFERROR(VLOOKUP(G37, $A$5:$B$52, 2, FALSE), "")</x:f>
      </x:c>
      <x:c r="G37" s="17">
        <x:v>7</x:v>
      </x:c>
      <x:c r="H37" s="17" t="s">
        <x:v>59</x:v>
      </x:c>
      <x:c r="I37" s="17">
        <x:v>33</x:v>
      </x:c>
      <x:c r="J37" s="18" t="s">
        <x:v>226</x:v>
      </x:c>
      <x:c r="K37" s="18" t="s">
        <x:v>96</x:v>
      </x:c>
      <x:c r="L37" s="17" t="s">
        <x:v>119</x:v>
      </x:c>
      <x:c r="M37" s="17">
        <x:v>486</x:v>
      </x:c>
      <x:c r="N37" s="18">
        <x:f>IFERROR(VLOOKUP(G37, $A$5:$C$52, 3, FALSE), "")</x:f>
      </x:c>
      <x:c r="O37" s="18" t="s">
        <x:v>203</x:v>
      </x:c>
      <x:c r="P37" s="17" t="s">
        <x:v>203</x:v>
      </x:c>
      <x:c r="Q37" s="17">
        <x:v>32</x:v>
      </x:c>
      <x:c r="R37" s="18" t="s">
        <x:v>476</x:v>
      </x:c>
      <x:c r="S37" s="17" t="s">
        <x:v>477</x:v>
      </x:c>
      <x:c r="T37" s="17" t="s">
        <x:v>419</x:v>
      </x:c>
      <x:c r="U37" s="17">
        <x:v>10</x:v>
      </x:c>
      <x:c r="V37" s="18">
        <x:f>IFERROR(VLOOKUP(U37, $A$5:$B$52, 2, FALSE), "")</x:f>
      </x:c>
      <x:c r="W37" s="17" t="s">
        <x:v>60</x:v>
      </x:c>
      <x:c r="X37" s="17" t="s">
        <x:v>420</x:v>
      </x:c>
      <x:c r="Y37" s="17" t="s">
        <x:v>123</x:v>
      </x:c>
      <x:c r="Z37" s="18" t="s">
        <x:v>203</x:v>
      </x:c>
      <x:c r="AI37" s="18" t="s">
        <x:v>99</x:v>
      </x:c>
    </x:row>
    <x:row r="38" spans="1:39">
      <x:c r="A38" s="17">
        <x:v>34</x:v>
      </x:c>
      <x:c r="B38" s="18" t="s">
        <x:v>187</x:v>
      </x:c>
      <x:c r="C38" s="18" t="s">
        <x:v>42</x:v>
      </x:c>
      <x:c r="D38" s="17" t="s">
        <x:v>63</x:v>
      </x:c>
      <x:c r="E38" s="17" t="s">
        <x:v>177</x:v>
      </x:c>
      <x:c r="F38" s="18">
        <x:f>IFERROR(VLOOKUP(G38, $A$5:$B$52, 2, FALSE), "")</x:f>
      </x:c>
      <x:c r="G38" s="17">
        <x:v>8</x:v>
      </x:c>
      <x:c r="H38" s="17" t="s">
        <x:v>59</x:v>
      </x:c>
      <x:c r="I38" s="17">
        <x:v>34</x:v>
      </x:c>
      <x:c r="J38" s="18" t="s">
        <x:v>227</x:v>
      </x:c>
      <x:c r="K38" s="18" t="s">
        <x:v>95</x:v>
      </x:c>
      <x:c r="L38" s="17" t="s">
        <x:v>120</x:v>
      </x:c>
      <x:c r="M38" s="17">
        <x:v>501</x:v>
      </x:c>
      <x:c r="N38" s="18">
        <x:f>IFERROR(VLOOKUP(G38, $A$5:$C$52, 3, FALSE), "")</x:f>
      </x:c>
      <x:c r="O38" s="18" t="s">
        <x:v>203</x:v>
      </x:c>
      <x:c r="P38" s="17" t="s">
        <x:v>203</x:v>
      </x:c>
      <x:c r="Q38" s="17">
        <x:v>33</x:v>
      </x:c>
      <x:c r="R38" s="18" t="s">
        <x:v>478</x:v>
      </x:c>
      <x:c r="S38" s="17" t="s">
        <x:v>479</x:v>
      </x:c>
      <x:c r="T38" s="17" t="s">
        <x:v>419</x:v>
      </x:c>
      <x:c r="U38" s="17">
        <x:v>10</x:v>
      </x:c>
      <x:c r="V38" s="18">
        <x:f>IFERROR(VLOOKUP(U38, $A$5:$B$52, 2, FALSE), "")</x:f>
      </x:c>
      <x:c r="W38" s="17" t="s">
        <x:v>60</x:v>
      </x:c>
      <x:c r="X38" s="17" t="s">
        <x:v>422</x:v>
      </x:c>
      <x:c r="Y38" s="17" t="s">
        <x:v>123</x:v>
      </x:c>
      <x:c r="Z38" s="18" t="s">
        <x:v>203</x:v>
      </x:c>
      <x:c r="AI38" s="18" t="s">
        <x:v>100</x:v>
      </x:c>
    </x:row>
    <x:row r="39" spans="1:39">
      <x:c r="A39" s="17">
        <x:v>35</x:v>
      </x:c>
      <x:c r="B39" s="18" t="s">
        <x:v>188</x:v>
      </x:c>
      <x:c r="C39" s="18" t="s">
        <x:v>42</x:v>
      </x:c>
      <x:c r="D39" s="17" t="s">
        <x:v>63</x:v>
      </x:c>
      <x:c r="E39" s="17" t="s">
        <x:v>179</x:v>
      </x:c>
      <x:c r="F39" s="18">
        <x:f>IFERROR(VLOOKUP(G39, $A$5:$B$52, 2, FALSE), "")</x:f>
      </x:c>
      <x:c r="G39" s="17">
        <x:v>8</x:v>
      </x:c>
      <x:c r="H39" s="17" t="s">
        <x:v>59</x:v>
      </x:c>
      <x:c r="I39" s="17">
        <x:v>35</x:v>
      </x:c>
      <x:c r="J39" s="18" t="s">
        <x:v>228</x:v>
      </x:c>
      <x:c r="K39" s="18" t="s">
        <x:v>229</x:v>
      </x:c>
      <x:c r="L39" s="17" t="s">
        <x:v>120</x:v>
      </x:c>
      <x:c r="M39" s="17">
        <x:v>516</x:v>
      </x:c>
      <x:c r="N39" s="18">
        <x:f>IFERROR(VLOOKUP(G39, $A$5:$C$52, 3, FALSE), "")</x:f>
      </x:c>
      <x:c r="O39" s="18" t="s">
        <x:v>203</x:v>
      </x:c>
      <x:c r="P39" s="17" t="s">
        <x:v>203</x:v>
      </x:c>
      <x:c r="Q39" s="17">
        <x:v>34</x:v>
      </x:c>
      <x:c r="R39" s="18" t="s">
        <x:v>480</x:v>
      </x:c>
      <x:c r="S39" s="17" t="s">
        <x:v>163</x:v>
      </x:c>
      <x:c r="T39" s="17" t="s">
        <x:v>419</x:v>
      </x:c>
      <x:c r="U39" s="17">
        <x:v>10</x:v>
      </x:c>
      <x:c r="V39" s="18">
        <x:f>IFERROR(VLOOKUP(U39, $A$5:$B$52, 2, FALSE), "")</x:f>
      </x:c>
      <x:c r="W39" s="17" t="s">
        <x:v>60</x:v>
      </x:c>
      <x:c r="X39" s="17" t="s">
        <x:v>425</x:v>
      </x:c>
      <x:c r="Y39" s="17" t="s">
        <x:v>123</x:v>
      </x:c>
      <x:c r="Z39" s="18" t="s">
        <x:v>203</x:v>
      </x:c>
      <x:c r="AI39" s="18" t="s">
        <x:v>101</x:v>
      </x:c>
    </x:row>
    <x:row r="40" spans="1:39">
      <x:c r="A40" s="17">
        <x:v>36</x:v>
      </x:c>
      <x:c r="B40" s="18" t="s">
        <x:v>189</x:v>
      </x:c>
      <x:c r="C40" s="18" t="s">
        <x:v>42</x:v>
      </x:c>
      <x:c r="D40" s="17" t="s">
        <x:v>63</x:v>
      </x:c>
      <x:c r="E40" s="17" t="s">
        <x:v>181</x:v>
      </x:c>
      <x:c r="F40" s="18">
        <x:f>IFERROR(VLOOKUP(G40, $A$5:$B$52, 2, FALSE), "")</x:f>
      </x:c>
      <x:c r="G40" s="17">
        <x:v>8</x:v>
      </x:c>
      <x:c r="H40" s="17" t="s">
        <x:v>59</x:v>
      </x:c>
      <x:c r="I40" s="17">
        <x:v>36</x:v>
      </x:c>
      <x:c r="J40" s="18" t="s">
        <x:v>230</x:v>
      </x:c>
      <x:c r="K40" s="18" t="s">
        <x:v>95</x:v>
      </x:c>
      <x:c r="L40" s="17" t="s">
        <x:v>121</x:v>
      </x:c>
      <x:c r="M40" s="17">
        <x:v>531</x:v>
      </x:c>
      <x:c r="N40" s="18">
        <x:f>IFERROR(VLOOKUP(G40, $A$5:$C$52, 3, FALSE), "")</x:f>
      </x:c>
      <x:c r="O40" s="18" t="s">
        <x:v>203</x:v>
      </x:c>
      <x:c r="P40" s="17" t="s">
        <x:v>203</x:v>
      </x:c>
      <x:c r="Q40" s="17">
        <x:v>35</x:v>
      </x:c>
      <x:c r="R40" s="18" t="s">
        <x:v>481</x:v>
      </x:c>
      <x:c r="S40" s="17" t="s">
        <x:v>482</x:v>
      </x:c>
      <x:c r="T40" s="17" t="s">
        <x:v>419</x:v>
      </x:c>
      <x:c r="U40" s="17">
        <x:v>10</x:v>
      </x:c>
      <x:c r="V40" s="18">
        <x:f>IFERROR(VLOOKUP(U40, $A$5:$B$52, 2, FALSE), "")</x:f>
      </x:c>
      <x:c r="W40" s="17" t="s">
        <x:v>60</x:v>
      </x:c>
      <x:c r="X40" s="17" t="s">
        <x:v>428</x:v>
      </x:c>
      <x:c r="Y40" s="17" t="s">
        <x:v>123</x:v>
      </x:c>
      <x:c r="Z40" s="18" t="s">
        <x:v>203</x:v>
      </x:c>
      <x:c r="AI40" s="18" t="s">
        <x:v>102</x:v>
      </x:c>
    </x:row>
    <x:row r="41" spans="1:39">
      <x:c r="A41" s="17">
        <x:v>37</x:v>
      </x:c>
      <x:c r="B41" s="18" t="s">
        <x:v>190</x:v>
      </x:c>
      <x:c r="C41" s="18" t="s">
        <x:v>44</x:v>
      </x:c>
      <x:c r="D41" s="17" t="s">
        <x:v>63</x:v>
      </x:c>
      <x:c r="E41" s="17" t="s">
        <x:v>177</x:v>
      </x:c>
      <x:c r="F41" s="18">
        <x:f>IFERROR(VLOOKUP(G41, $A$5:$B$52, 2, FALSE), "")</x:f>
      </x:c>
      <x:c r="G41" s="17">
        <x:v>8</x:v>
      </x:c>
      <x:c r="H41" s="17" t="s">
        <x:v>59</x:v>
      </x:c>
      <x:c r="I41" s="17">
        <x:v>37</x:v>
      </x:c>
      <x:c r="J41" s="18" t="s">
        <x:v>231</x:v>
      </x:c>
      <x:c r="K41" s="18" t="s">
        <x:v>95</x:v>
      </x:c>
      <x:c r="L41" s="17" t="s">
        <x:v>122</x:v>
      </x:c>
      <x:c r="M41" s="17">
        <x:v>546</x:v>
      </x:c>
      <x:c r="N41" s="18">
        <x:f>IFERROR(VLOOKUP(G41, $A$5:$C$52, 3, FALSE), "")</x:f>
      </x:c>
      <x:c r="O41" s="18" t="s">
        <x:v>203</x:v>
      </x:c>
      <x:c r="P41" s="17" t="s">
        <x:v>203</x:v>
      </x:c>
      <x:c r="Q41" s="17">
        <x:v>36</x:v>
      </x:c>
      <x:c r="R41" s="18" t="s">
        <x:v>483</x:v>
      </x:c>
      <x:c r="S41" s="17" t="s">
        <x:v>484</x:v>
      </x:c>
      <x:c r="T41" s="17" t="s">
        <x:v>419</x:v>
      </x:c>
      <x:c r="U41" s="17">
        <x:v>11</x:v>
      </x:c>
      <x:c r="V41" s="18">
        <x:f>IFERROR(VLOOKUP(U41, $A$5:$B$52, 2, FALSE), "")</x:f>
      </x:c>
      <x:c r="W41" s="17" t="s">
        <x:v>60</x:v>
      </x:c>
      <x:c r="X41" s="17" t="s">
        <x:v>420</x:v>
      </x:c>
      <x:c r="Y41" s="17" t="s">
        <x:v>123</x:v>
      </x:c>
      <x:c r="Z41" s="18" t="s">
        <x:v>203</x:v>
      </x:c>
      <x:c r="AI41" s="18" t="s">
        <x:v>103</x:v>
      </x:c>
    </x:row>
    <x:row r="42" spans="1:39">
      <x:c r="A42" s="17">
        <x:v>38</x:v>
      </x:c>
      <x:c r="B42" s="18" t="s">
        <x:v>191</x:v>
      </x:c>
      <x:c r="C42" s="18" t="s">
        <x:v>44</x:v>
      </x:c>
      <x:c r="D42" s="17" t="s">
        <x:v>63</x:v>
      </x:c>
      <x:c r="E42" s="17" t="s">
        <x:v>179</x:v>
      </x:c>
      <x:c r="F42" s="18">
        <x:f>IFERROR(VLOOKUP(G42, $A$5:$B$52, 2, FALSE), "")</x:f>
      </x:c>
      <x:c r="G42" s="17">
        <x:v>8</x:v>
      </x:c>
      <x:c r="H42" s="17" t="s">
        <x:v>59</x:v>
      </x:c>
      <x:c r="I42" s="17">
        <x:v>38</x:v>
      </x:c>
      <x:c r="J42" s="18" t="s">
        <x:v>232</x:v>
      </x:c>
      <x:c r="K42" s="18" t="s">
        <x:v>96</x:v>
      </x:c>
      <x:c r="L42" s="17" t="s">
        <x:v>122</x:v>
      </x:c>
      <x:c r="M42" s="17">
        <x:v>561</x:v>
      </x:c>
      <x:c r="N42" s="18">
        <x:f>IFERROR(VLOOKUP(G42, $A$5:$C$52, 3, FALSE), "")</x:f>
      </x:c>
      <x:c r="O42" s="18" t="s">
        <x:v>203</x:v>
      </x:c>
      <x:c r="P42" s="17" t="s">
        <x:v>203</x:v>
      </x:c>
      <x:c r="Q42" s="17">
        <x:v>37</x:v>
      </x:c>
      <x:c r="R42" s="18" t="s">
        <x:v>485</x:v>
      </x:c>
      <x:c r="S42" s="17" t="s">
        <x:v>486</x:v>
      </x:c>
      <x:c r="T42" s="17" t="s">
        <x:v>419</x:v>
      </x:c>
      <x:c r="U42" s="17">
        <x:v>11</x:v>
      </x:c>
      <x:c r="V42" s="18">
        <x:f>IFERROR(VLOOKUP(U42, $A$5:$B$52, 2, FALSE), "")</x:f>
      </x:c>
      <x:c r="W42" s="17" t="s">
        <x:v>60</x:v>
      </x:c>
      <x:c r="X42" s="17" t="s">
        <x:v>422</x:v>
      </x:c>
      <x:c r="Y42" s="17" t="s">
        <x:v>123</x:v>
      </x:c>
      <x:c r="Z42" s="18" t="s">
        <x:v>203</x:v>
      </x:c>
      <x:c r="AI42" s="18" t="s">
        <x:v>104</x:v>
      </x:c>
    </x:row>
    <x:row r="43" spans="1:39">
      <x:c r="A43" s="17">
        <x:v>39</x:v>
      </x:c>
      <x:c r="B43" s="18" t="s">
        <x:v>192</x:v>
      </x:c>
      <x:c r="C43" s="18" t="s">
        <x:v>46</x:v>
      </x:c>
      <x:c r="D43" s="17" t="s">
        <x:v>63</x:v>
      </x:c>
      <x:c r="E43" s="17" t="s">
        <x:v>177</x:v>
      </x:c>
      <x:c r="F43" s="18">
        <x:f>IFERROR(VLOOKUP(G43, $A$5:$B$52, 2, FALSE), "")</x:f>
      </x:c>
      <x:c r="G43" s="17">
        <x:v>9</x:v>
      </x:c>
      <x:c r="H43" s="17" t="s">
        <x:v>60</x:v>
      </x:c>
      <x:c r="I43" s="17">
        <x:v>39</x:v>
      </x:c>
      <x:c r="J43" s="18" t="s">
        <x:v>233</x:v>
      </x:c>
      <x:c r="K43" s="18" t="s">
        <x:v>234</x:v>
      </x:c>
      <x:c r="L43" s="17" t="s">
        <x:v>117</x:v>
      </x:c>
      <x:c r="M43" s="17">
        <x:v>6</x:v>
      </x:c>
      <x:c r="N43" s="18">
        <x:f>IFERROR(VLOOKUP(G43, $A$5:$C$52, 3, FALSE), "")</x:f>
      </x:c>
      <x:c r="O43" s="18" t="s">
        <x:v>203</x:v>
      </x:c>
      <x:c r="P43" s="17" t="s">
        <x:v>203</x:v>
      </x:c>
      <x:c r="Q43" s="17">
        <x:v>38</x:v>
      </x:c>
      <x:c r="R43" s="18" t="s">
        <x:v>487</x:v>
      </x:c>
      <x:c r="S43" s="17" t="s">
        <x:v>488</x:v>
      </x:c>
      <x:c r="T43" s="17" t="s">
        <x:v>419</x:v>
      </x:c>
      <x:c r="U43" s="17">
        <x:v>11</x:v>
      </x:c>
      <x:c r="V43" s="18">
        <x:f>IFERROR(VLOOKUP(U43, $A$5:$B$52, 2, FALSE), "")</x:f>
      </x:c>
      <x:c r="W43" s="17" t="s">
        <x:v>60</x:v>
      </x:c>
      <x:c r="X43" s="17" t="s">
        <x:v>425</x:v>
      </x:c>
      <x:c r="Y43" s="17" t="s">
        <x:v>123</x:v>
      </x:c>
      <x:c r="Z43" s="18" t="s">
        <x:v>203</x:v>
      </x:c>
      <x:c r="AI43" s="18" t="s">
        <x:v>105</x:v>
      </x:c>
    </x:row>
    <x:row r="44" spans="1:39">
      <x:c r="A44" s="17">
        <x:v>40</x:v>
      </x:c>
      <x:c r="B44" s="18" t="s">
        <x:v>193</x:v>
      </x:c>
      <x:c r="C44" s="18" t="s">
        <x:v>46</x:v>
      </x:c>
      <x:c r="D44" s="17" t="s">
        <x:v>63</x:v>
      </x:c>
      <x:c r="E44" s="17" t="s">
        <x:v>179</x:v>
      </x:c>
      <x:c r="F44" s="18">
        <x:f>IFERROR(VLOOKUP(G44, $A$5:$B$52, 2, FALSE), "")</x:f>
      </x:c>
      <x:c r="G44" s="17">
        <x:v>9</x:v>
      </x:c>
      <x:c r="H44" s="17" t="s">
        <x:v>60</x:v>
      </x:c>
      <x:c r="I44" s="17">
        <x:v>40</x:v>
      </x:c>
      <x:c r="J44" s="18" t="s">
        <x:v>235</x:v>
      </x:c>
      <x:c r="K44" s="18" t="s">
        <x:v>234</x:v>
      </x:c>
      <x:c r="L44" s="17" t="s">
        <x:v>118</x:v>
      </x:c>
      <x:c r="M44" s="17">
        <x:v>22</x:v>
      </x:c>
      <x:c r="N44" s="18">
        <x:f>IFERROR(VLOOKUP(G44, $A$5:$C$52, 3, FALSE), "")</x:f>
      </x:c>
      <x:c r="O44" s="18" t="s">
        <x:v>203</x:v>
      </x:c>
      <x:c r="P44" s="17" t="s">
        <x:v>203</x:v>
      </x:c>
      <x:c r="Q44" s="17">
        <x:v>39</x:v>
      </x:c>
      <x:c r="R44" s="18" t="s">
        <x:v>489</x:v>
      </x:c>
      <x:c r="S44" s="17" t="s">
        <x:v>490</x:v>
      </x:c>
      <x:c r="T44" s="17" t="s">
        <x:v>419</x:v>
      </x:c>
      <x:c r="U44" s="17">
        <x:v>12</x:v>
      </x:c>
      <x:c r="V44" s="18">
        <x:f>IFERROR(VLOOKUP(U44, $A$5:$B$52, 2, FALSE), "")</x:f>
      </x:c>
      <x:c r="W44" s="17" t="s">
        <x:v>60</x:v>
      </x:c>
      <x:c r="X44" s="17" t="s">
        <x:v>420</x:v>
      </x:c>
      <x:c r="Y44" s="17" t="s">
        <x:v>123</x:v>
      </x:c>
      <x:c r="Z44" s="18" t="s">
        <x:v>203</x:v>
      </x:c>
      <x:c r="AI44" s="18" t="s">
        <x:v>106</x:v>
      </x:c>
    </x:row>
    <x:row r="45" spans="1:39">
      <x:c r="A45" s="17">
        <x:v>41</x:v>
      </x:c>
      <x:c r="B45" s="18" t="s">
        <x:v>194</x:v>
      </x:c>
      <x:c r="C45" s="18" t="s">
        <x:v>48</x:v>
      </x:c>
      <x:c r="D45" s="17" t="s">
        <x:v>63</x:v>
      </x:c>
      <x:c r="E45" s="17" t="s">
        <x:v>177</x:v>
      </x:c>
      <x:c r="F45" s="18">
        <x:f>IFERROR(VLOOKUP(G45, $A$5:$B$52, 2, FALSE), "")</x:f>
      </x:c>
      <x:c r="G45" s="17">
        <x:v>9</x:v>
      </x:c>
      <x:c r="H45" s="17" t="s">
        <x:v>60</x:v>
      </x:c>
      <x:c r="I45" s="17">
        <x:v>41</x:v>
      </x:c>
      <x:c r="J45" s="18" t="s">
        <x:v>236</x:v>
      </x:c>
      <x:c r="K45" s="18" t="s">
        <x:v>234</x:v>
      </x:c>
      <x:c r="L45" s="17" t="s">
        <x:v>119</x:v>
      </x:c>
      <x:c r="M45" s="17">
        <x:v>38</x:v>
      </x:c>
      <x:c r="N45" s="18">
        <x:f>IFERROR(VLOOKUP(G45, $A$5:$C$52, 3, FALSE), "")</x:f>
      </x:c>
      <x:c r="O45" s="18" t="s">
        <x:v>203</x:v>
      </x:c>
      <x:c r="P45" s="17" t="s">
        <x:v>203</x:v>
      </x:c>
      <x:c r="Q45" s="17">
        <x:v>40</x:v>
      </x:c>
      <x:c r="R45" s="18" t="s">
        <x:v>491</x:v>
      </x:c>
      <x:c r="S45" s="17" t="s">
        <x:v>492</x:v>
      </x:c>
      <x:c r="T45" s="17" t="s">
        <x:v>419</x:v>
      </x:c>
      <x:c r="U45" s="17">
        <x:v>12</x:v>
      </x:c>
      <x:c r="V45" s="18">
        <x:f>IFERROR(VLOOKUP(U45, $A$5:$B$52, 2, FALSE), "")</x:f>
      </x:c>
      <x:c r="W45" s="17" t="s">
        <x:v>60</x:v>
      </x:c>
      <x:c r="X45" s="17" t="s">
        <x:v>422</x:v>
      </x:c>
      <x:c r="Y45" s="17" t="s">
        <x:v>123</x:v>
      </x:c>
      <x:c r="Z45" s="18" t="s">
        <x:v>203</x:v>
      </x:c>
      <x:c r="AI45" s="18" t="s">
        <x:v>107</x:v>
      </x:c>
    </x:row>
    <x:row r="46" spans="1:39">
      <x:c r="A46" s="17">
        <x:v>42</x:v>
      </x:c>
      <x:c r="B46" s="18" t="s">
        <x:v>195</x:v>
      </x:c>
      <x:c r="C46" s="18" t="s">
        <x:v>48</x:v>
      </x:c>
      <x:c r="D46" s="17" t="s">
        <x:v>63</x:v>
      </x:c>
      <x:c r="E46" s="17" t="s">
        <x:v>179</x:v>
      </x:c>
      <x:c r="F46" s="18">
        <x:f>IFERROR(VLOOKUP(G46, $A$5:$B$52, 2, FALSE), "")</x:f>
      </x:c>
      <x:c r="G46" s="17">
        <x:v>10</x:v>
      </x:c>
      <x:c r="H46" s="17" t="s">
        <x:v>60</x:v>
      </x:c>
      <x:c r="I46" s="17">
        <x:v>42</x:v>
      </x:c>
      <x:c r="J46" s="18" t="s">
        <x:v>237</x:v>
      </x:c>
      <x:c r="K46" s="18" t="s">
        <x:v>234</x:v>
      </x:c>
      <x:c r="L46" s="17" t="s">
        <x:v>120</x:v>
      </x:c>
      <x:c r="M46" s="17">
        <x:v>54</x:v>
      </x:c>
      <x:c r="N46" s="18">
        <x:f>IFERROR(VLOOKUP(G46, $A$5:$C$52, 3, FALSE), "")</x:f>
      </x:c>
      <x:c r="O46" s="18" t="s">
        <x:v>203</x:v>
      </x:c>
      <x:c r="P46" s="17" t="s">
        <x:v>203</x:v>
      </x:c>
      <x:c r="Q46" s="17">
        <x:v>41</x:v>
      </x:c>
      <x:c r="R46" s="18" t="s">
        <x:v>493</x:v>
      </x:c>
      <x:c r="S46" s="17" t="s">
        <x:v>165</x:v>
      </x:c>
      <x:c r="T46" s="17" t="s">
        <x:v>419</x:v>
      </x:c>
      <x:c r="U46" s="17">
        <x:v>12</x:v>
      </x:c>
      <x:c r="V46" s="18">
        <x:f>IFERROR(VLOOKUP(U46, $A$5:$B$52, 2, FALSE), "")</x:f>
      </x:c>
      <x:c r="W46" s="17" t="s">
        <x:v>60</x:v>
      </x:c>
      <x:c r="X46" s="17" t="s">
        <x:v>425</x:v>
      </x:c>
      <x:c r="Y46" s="17" t="s">
        <x:v>123</x:v>
      </x:c>
      <x:c r="Z46" s="18" t="s">
        <x:v>203</x:v>
      </x:c>
      <x:c r="AI46" s="18" t="s">
        <x:v>108</x:v>
      </x:c>
    </x:row>
    <x:row r="47" spans="1:39">
      <x:c r="A47" s="17">
        <x:v>43</x:v>
      </x:c>
      <x:c r="B47" s="18" t="s">
        <x:v>196</x:v>
      </x:c>
      <x:c r="C47" s="18" t="s">
        <x:v>48</x:v>
      </x:c>
      <x:c r="D47" s="17" t="s">
        <x:v>63</x:v>
      </x:c>
      <x:c r="E47" s="17" t="s">
        <x:v>179</x:v>
      </x:c>
      <x:c r="F47" s="18">
        <x:f>IFERROR(VLOOKUP(G47, $A$5:$B$52, 2, FALSE), "")</x:f>
      </x:c>
      <x:c r="G47" s="17">
        <x:v>10</x:v>
      </x:c>
      <x:c r="H47" s="17" t="s">
        <x:v>60</x:v>
      </x:c>
      <x:c r="I47" s="17">
        <x:v>43</x:v>
      </x:c>
      <x:c r="J47" s="18" t="s">
        <x:v>238</x:v>
      </x:c>
      <x:c r="K47" s="18" t="s">
        <x:v>234</x:v>
      </x:c>
      <x:c r="L47" s="17" t="s">
        <x:v>121</x:v>
      </x:c>
      <x:c r="M47" s="17">
        <x:v>70</x:v>
      </x:c>
      <x:c r="N47" s="18">
        <x:f>IFERROR(VLOOKUP(G47, $A$5:$C$52, 3, FALSE), "")</x:f>
      </x:c>
      <x:c r="O47" s="18" t="s">
        <x:v>203</x:v>
      </x:c>
      <x:c r="P47" s="17" t="s">
        <x:v>203</x:v>
      </x:c>
      <x:c r="Q47" s="17">
        <x:v>42</x:v>
      </x:c>
      <x:c r="R47" s="18" t="s">
        <x:v>494</x:v>
      </x:c>
      <x:c r="S47" s="17" t="s">
        <x:v>495</x:v>
      </x:c>
      <x:c r="T47" s="17" t="s">
        <x:v>419</x:v>
      </x:c>
      <x:c r="U47" s="17">
        <x:v>13</x:v>
      </x:c>
      <x:c r="V47" s="18">
        <x:f>IFERROR(VLOOKUP(U47, $A$5:$B$52, 2, FALSE), "")</x:f>
      </x:c>
      <x:c r="W47" s="17" t="s">
        <x:v>60</x:v>
      </x:c>
      <x:c r="X47" s="17" t="s">
        <x:v>420</x:v>
      </x:c>
      <x:c r="Y47" s="17" t="s">
        <x:v>123</x:v>
      </x:c>
      <x:c r="Z47" s="18" t="s">
        <x:v>203</x:v>
      </x:c>
      <x:c r="AI47" s="18" t="s">
        <x:v>109</x:v>
      </x:c>
    </x:row>
    <x:row r="48" spans="1:39">
      <x:c r="A48" s="17">
        <x:v>44</x:v>
      </x:c>
      <x:c r="B48" s="18" t="s">
        <x:v>197</x:v>
      </x:c>
      <x:c r="C48" s="18" t="s">
        <x:v>50</x:v>
      </x:c>
      <x:c r="D48" s="17" t="s">
        <x:v>63</x:v>
      </x:c>
      <x:c r="E48" s="17" t="s">
        <x:v>177</x:v>
      </x:c>
      <x:c r="F48" s="18">
        <x:f>IFERROR(VLOOKUP(G48, $A$5:$B$52, 2, FALSE), "")</x:f>
      </x:c>
      <x:c r="G48" s="17">
        <x:v>10</x:v>
      </x:c>
      <x:c r="H48" s="17" t="s">
        <x:v>60</x:v>
      </x:c>
      <x:c r="I48" s="17">
        <x:v>44</x:v>
      </x:c>
      <x:c r="J48" s="18" t="s">
        <x:v>239</x:v>
      </x:c>
      <x:c r="K48" s="18" t="s">
        <x:v>234</x:v>
      </x:c>
      <x:c r="L48" s="17" t="s">
        <x:v>122</x:v>
      </x:c>
      <x:c r="M48" s="17">
        <x:v>86</x:v>
      </x:c>
      <x:c r="N48" s="18">
        <x:f>IFERROR(VLOOKUP(G48, $A$5:$C$52, 3, FALSE), "")</x:f>
      </x:c>
      <x:c r="O48" s="18" t="s">
        <x:v>203</x:v>
      </x:c>
      <x:c r="P48" s="17" t="s">
        <x:v>203</x:v>
      </x:c>
      <x:c r="Q48" s="17">
        <x:v>43</x:v>
      </x:c>
      <x:c r="R48" s="18" t="s">
        <x:v>496</x:v>
      </x:c>
      <x:c r="S48" s="17" t="s">
        <x:v>497</x:v>
      </x:c>
      <x:c r="T48" s="17" t="s">
        <x:v>419</x:v>
      </x:c>
      <x:c r="U48" s="17">
        <x:v>13</x:v>
      </x:c>
      <x:c r="V48" s="18">
        <x:f>IFERROR(VLOOKUP(U48, $A$5:$B$52, 2, FALSE), "")</x:f>
      </x:c>
      <x:c r="W48" s="17" t="s">
        <x:v>60</x:v>
      </x:c>
      <x:c r="X48" s="17" t="s">
        <x:v>422</x:v>
      </x:c>
      <x:c r="Y48" s="17" t="s">
        <x:v>123</x:v>
      </x:c>
      <x:c r="Z48" s="18" t="s">
        <x:v>203</x:v>
      </x:c>
      <x:c r="AI48" s="18" t="s">
        <x:v>110</x:v>
      </x:c>
    </x:row>
    <x:row r="49" spans="1:39">
      <x:c r="A49" s="17">
        <x:v>45</x:v>
      </x:c>
      <x:c r="B49" s="18" t="s">
        <x:v>198</x:v>
      </x:c>
      <x:c r="C49" s="18" t="s">
        <x:v>50</x:v>
      </x:c>
      <x:c r="D49" s="17" t="s">
        <x:v>63</x:v>
      </x:c>
      <x:c r="E49" s="17" t="s">
        <x:v>179</x:v>
      </x:c>
      <x:c r="F49" s="18">
        <x:f>IFERROR(VLOOKUP(G49, $A$5:$B$52, 2, FALSE), "")</x:f>
      </x:c>
      <x:c r="G49" s="17">
        <x:v>11</x:v>
      </x:c>
      <x:c r="H49" s="17" t="s">
        <x:v>60</x:v>
      </x:c>
      <x:c r="I49" s="17">
        <x:v>45</x:v>
      </x:c>
      <x:c r="J49" s="18" t="s">
        <x:v>240</x:v>
      </x:c>
      <x:c r="K49" s="18" t="s">
        <x:v>234</x:v>
      </x:c>
      <x:c r="L49" s="17" t="s">
        <x:v>117</x:v>
      </x:c>
      <x:c r="M49" s="17">
        <x:v>102</x:v>
      </x:c>
      <x:c r="N49" s="18">
        <x:f>IFERROR(VLOOKUP(G49, $A$5:$C$52, 3, FALSE), "")</x:f>
      </x:c>
      <x:c r="O49" s="18" t="s">
        <x:v>203</x:v>
      </x:c>
      <x:c r="P49" s="17" t="s">
        <x:v>203</x:v>
      </x:c>
      <x:c r="Q49" s="17">
        <x:v>44</x:v>
      </x:c>
      <x:c r="R49" s="18" t="s">
        <x:v>498</x:v>
      </x:c>
      <x:c r="S49" s="17" t="s">
        <x:v>499</x:v>
      </x:c>
      <x:c r="T49" s="17" t="s">
        <x:v>419</x:v>
      </x:c>
      <x:c r="U49" s="17">
        <x:v>13</x:v>
      </x:c>
      <x:c r="V49" s="18">
        <x:f>IFERROR(VLOOKUP(U49, $A$5:$B$52, 2, FALSE), "")</x:f>
      </x:c>
      <x:c r="W49" s="17" t="s">
        <x:v>60</x:v>
      </x:c>
      <x:c r="X49" s="17" t="s">
        <x:v>425</x:v>
      </x:c>
      <x:c r="Y49" s="17" t="s">
        <x:v>123</x:v>
      </x:c>
      <x:c r="Z49" s="18" t="s">
        <x:v>203</x:v>
      </x:c>
      <x:c r="AI49" s="18" t="s">
        <x:v>65</x:v>
      </x:c>
    </x:row>
    <x:row r="50" spans="1:39">
      <x:c r="A50" s="17">
        <x:v>46</x:v>
      </x:c>
      <x:c r="B50" s="18" t="s">
        <x:v>199</x:v>
      </x:c>
      <x:c r="C50" s="18" t="s">
        <x:v>50</x:v>
      </x:c>
      <x:c r="D50" s="17" t="s">
        <x:v>63</x:v>
      </x:c>
      <x:c r="E50" s="17" t="s">
        <x:v>181</x:v>
      </x:c>
      <x:c r="F50" s="18">
        <x:f>IFERROR(VLOOKUP(G50, $A$5:$B$52, 2, FALSE), "")</x:f>
      </x:c>
      <x:c r="G50" s="17">
        <x:v>11</x:v>
      </x:c>
      <x:c r="H50" s="17" t="s">
        <x:v>60</x:v>
      </x:c>
      <x:c r="I50" s="17">
        <x:v>46</x:v>
      </x:c>
      <x:c r="J50" s="18" t="s">
        <x:v>241</x:v>
      </x:c>
      <x:c r="K50" s="18" t="s">
        <x:v>234</x:v>
      </x:c>
      <x:c r="L50" s="17" t="s">
        <x:v>118</x:v>
      </x:c>
      <x:c r="M50" s="17">
        <x:v>118</x:v>
      </x:c>
      <x:c r="N50" s="18">
        <x:f>IFERROR(VLOOKUP(G50, $A$5:$C$52, 3, FALSE), "")</x:f>
      </x:c>
      <x:c r="O50" s="18" t="s">
        <x:v>203</x:v>
      </x:c>
      <x:c r="P50" s="17" t="s">
        <x:v>203</x:v>
      </x:c>
      <x:c r="Q50" s="17">
        <x:v>45</x:v>
      </x:c>
      <x:c r="R50" s="18" t="s">
        <x:v>500</x:v>
      </x:c>
      <x:c r="S50" s="17" t="s">
        <x:v>501</x:v>
      </x:c>
      <x:c r="T50" s="17" t="s">
        <x:v>419</x:v>
      </x:c>
      <x:c r="U50" s="17">
        <x:v>14</x:v>
      </x:c>
      <x:c r="V50" s="18">
        <x:f>IFERROR(VLOOKUP(U50, $A$5:$B$52, 2, FALSE), "")</x:f>
      </x:c>
      <x:c r="W50" s="17" t="s">
        <x:v>60</x:v>
      </x:c>
      <x:c r="X50" s="17" t="s">
        <x:v>420</x:v>
      </x:c>
      <x:c r="Y50" s="17" t="s">
        <x:v>123</x:v>
      </x:c>
      <x:c r="Z50" s="18" t="s">
        <x:v>203</x:v>
      </x:c>
      <x:c r="AI50" s="18" t="s">
        <x:v>111</x:v>
      </x:c>
    </x:row>
    <x:row r="51" spans="1:39">
      <x:c r="A51" s="17">
        <x:v>47</x:v>
      </x:c>
      <x:c r="B51" s="18" t="s">
        <x:v>200</x:v>
      </x:c>
      <x:c r="C51" s="18" t="s">
        <x:v>52</x:v>
      </x:c>
      <x:c r="D51" s="17" t="s">
        <x:v>63</x:v>
      </x:c>
      <x:c r="E51" s="17" t="s">
        <x:v>177</x:v>
      </x:c>
      <x:c r="F51" s="18">
        <x:f>IFERROR(VLOOKUP(G51, $A$5:$B$52, 2, FALSE), "")</x:f>
      </x:c>
      <x:c r="G51" s="17">
        <x:v>11</x:v>
      </x:c>
      <x:c r="H51" s="17" t="s">
        <x:v>60</x:v>
      </x:c>
      <x:c r="I51" s="17">
        <x:v>47</x:v>
      </x:c>
      <x:c r="J51" s="18" t="s">
        <x:v>242</x:v>
      </x:c>
      <x:c r="K51" s="18" t="s">
        <x:v>234</x:v>
      </x:c>
      <x:c r="L51" s="17" t="s">
        <x:v>119</x:v>
      </x:c>
      <x:c r="M51" s="17">
        <x:v>134</x:v>
      </x:c>
      <x:c r="N51" s="18">
        <x:f>IFERROR(VLOOKUP(G51, $A$5:$C$52, 3, FALSE), "")</x:f>
      </x:c>
      <x:c r="O51" s="18" t="s">
        <x:v>203</x:v>
      </x:c>
      <x:c r="P51" s="17" t="s">
        <x:v>203</x:v>
      </x:c>
      <x:c r="Q51" s="17">
        <x:v>46</x:v>
      </x:c>
      <x:c r="R51" s="18" t="s">
        <x:v>502</x:v>
      </x:c>
      <x:c r="S51" s="17" t="s">
        <x:v>503</x:v>
      </x:c>
      <x:c r="T51" s="17" t="s">
        <x:v>419</x:v>
      </x:c>
      <x:c r="U51" s="17">
        <x:v>14</x:v>
      </x:c>
      <x:c r="V51" s="18">
        <x:f>IFERROR(VLOOKUP(U51, $A$5:$B$52, 2, FALSE), "")</x:f>
      </x:c>
      <x:c r="W51" s="17" t="s">
        <x:v>60</x:v>
      </x:c>
      <x:c r="X51" s="17" t="s">
        <x:v>422</x:v>
      </x:c>
      <x:c r="Y51" s="17" t="s">
        <x:v>123</x:v>
      </x:c>
      <x:c r="Z51" s="18" t="s">
        <x:v>203</x:v>
      </x:c>
      <x:c r="AI51" s="18" t="s">
        <x:v>112</x:v>
      </x:c>
    </x:row>
    <x:row r="52" spans="1:39">
      <x:c r="A52" s="17">
        <x:v>48</x:v>
      </x:c>
      <x:c r="B52" s="18" t="s">
        <x:v>201</x:v>
      </x:c>
      <x:c r="C52" s="18" t="s">
        <x:v>52</x:v>
      </x:c>
      <x:c r="D52" s="17" t="s">
        <x:v>63</x:v>
      </x:c>
      <x:c r="E52" s="17" t="s">
        <x:v>179</x:v>
      </x:c>
      <x:c r="F52" s="18">
        <x:f>IFERROR(VLOOKUP(G52, $A$5:$B$52, 2, FALSE), "")</x:f>
      </x:c>
      <x:c r="G52" s="17">
        <x:v>12</x:v>
      </x:c>
      <x:c r="H52" s="17" t="s">
        <x:v>60</x:v>
      </x:c>
      <x:c r="I52" s="17">
        <x:v>48</x:v>
      </x:c>
      <x:c r="J52" s="18" t="s">
        <x:v>243</x:v>
      </x:c>
      <x:c r="K52" s="18" t="s">
        <x:v>234</x:v>
      </x:c>
      <x:c r="L52" s="17" t="s">
        <x:v>117</x:v>
      </x:c>
      <x:c r="M52" s="17">
        <x:v>150</x:v>
      </x:c>
      <x:c r="N52" s="18">
        <x:f>IFERROR(VLOOKUP(G52, $A$5:$C$52, 3, FALSE), "")</x:f>
      </x:c>
      <x:c r="O52" s="18" t="s">
        <x:v>203</x:v>
      </x:c>
      <x:c r="P52" s="17" t="s">
        <x:v>203</x:v>
      </x:c>
      <x:c r="Q52" s="17">
        <x:v>47</x:v>
      </x:c>
      <x:c r="R52" s="18" t="s">
        <x:v>504</x:v>
      </x:c>
      <x:c r="S52" s="17" t="s">
        <x:v>505</x:v>
      </x:c>
      <x:c r="T52" s="17" t="s">
        <x:v>419</x:v>
      </x:c>
      <x:c r="U52" s="17">
        <x:v>14</x:v>
      </x:c>
      <x:c r="V52" s="18">
        <x:f>IFERROR(VLOOKUP(U52, $A$5:$B$52, 2, FALSE), "")</x:f>
      </x:c>
      <x:c r="W52" s="17" t="s">
        <x:v>60</x:v>
      </x:c>
      <x:c r="X52" s="17" t="s">
        <x:v>425</x:v>
      </x:c>
      <x:c r="Y52" s="17" t="s">
        <x:v>123</x:v>
      </x:c>
      <x:c r="Z52" s="18" t="s">
        <x:v>203</x:v>
      </x:c>
      <x:c r="AI52" s="18" t="s">
        <x:v>113</x:v>
      </x:c>
    </x:row>
    <x:row r="53" spans="1:39">
      <x:c r="F53" s="18">
        <x:f>IFERROR(VLOOKUP(G53, $A$5:$B$52, 2, FALSE), "")</x:f>
      </x:c>
      <x:c r="G53" s="17">
        <x:v>12</x:v>
      </x:c>
      <x:c r="H53" s="17" t="s">
        <x:v>60</x:v>
      </x:c>
      <x:c r="I53" s="17">
        <x:v>49</x:v>
      </x:c>
      <x:c r="J53" s="18" t="s">
        <x:v>244</x:v>
      </x:c>
      <x:c r="K53" s="18" t="s">
        <x:v>234</x:v>
      </x:c>
      <x:c r="L53" s="17" t="s">
        <x:v>118</x:v>
      </x:c>
      <x:c r="M53" s="17">
        <x:v>166</x:v>
      </x:c>
      <x:c r="N53" s="18">
        <x:f>IFERROR(VLOOKUP(G53, $A$5:$C$52, 3, FALSE), "")</x:f>
      </x:c>
      <x:c r="O53" s="18" t="s">
        <x:v>203</x:v>
      </x:c>
      <x:c r="P53" s="17" t="s">
        <x:v>203</x:v>
      </x:c>
      <x:c r="Q53" s="17">
        <x:v>48</x:v>
      </x:c>
      <x:c r="R53" s="18" t="s">
        <x:v>506</x:v>
      </x:c>
      <x:c r="S53" s="17" t="s">
        <x:v>507</x:v>
      </x:c>
      <x:c r="T53" s="17" t="s">
        <x:v>419</x:v>
      </x:c>
      <x:c r="U53" s="17">
        <x:v>15</x:v>
      </x:c>
      <x:c r="V53" s="18">
        <x:f>IFERROR(VLOOKUP(U53, $A$5:$B$52, 2, FALSE), "")</x:f>
      </x:c>
      <x:c r="W53" s="17" t="s">
        <x:v>60</x:v>
      </x:c>
      <x:c r="X53" s="17" t="s">
        <x:v>420</x:v>
      </x:c>
      <x:c r="Y53" s="17" t="s">
        <x:v>123</x:v>
      </x:c>
      <x:c r="Z53" s="18" t="s">
        <x:v>203</x:v>
      </x:c>
      <x:c r="AI53" s="18" t="s">
        <x:v>114</x:v>
      </x:c>
    </x:row>
    <x:row r="54" spans="1:39">
      <x:c r="F54" s="18">
        <x:f>IFERROR(VLOOKUP(G54, $A$5:$B$52, 2, FALSE), "")</x:f>
      </x:c>
      <x:c r="G54" s="17">
        <x:v>12</x:v>
      </x:c>
      <x:c r="H54" s="17" t="s">
        <x:v>60</x:v>
      </x:c>
      <x:c r="I54" s="17">
        <x:v>50</x:v>
      </x:c>
      <x:c r="J54" s="18" t="s">
        <x:v>245</x:v>
      </x:c>
      <x:c r="K54" s="18" t="s">
        <x:v>234</x:v>
      </x:c>
      <x:c r="L54" s="17" t="s">
        <x:v>119</x:v>
      </x:c>
      <x:c r="M54" s="17">
        <x:v>182</x:v>
      </x:c>
      <x:c r="N54" s="18">
        <x:f>IFERROR(VLOOKUP(G54, $A$5:$C$52, 3, FALSE), "")</x:f>
      </x:c>
      <x:c r="O54" s="18" t="s">
        <x:v>203</x:v>
      </x:c>
      <x:c r="P54" s="17" t="s">
        <x:v>203</x:v>
      </x:c>
      <x:c r="Q54" s="17">
        <x:v>49</x:v>
      </x:c>
      <x:c r="R54" s="18" t="s">
        <x:v>508</x:v>
      </x:c>
      <x:c r="S54" s="17" t="s">
        <x:v>167</x:v>
      </x:c>
      <x:c r="T54" s="17" t="s">
        <x:v>419</x:v>
      </x:c>
      <x:c r="U54" s="17">
        <x:v>15</x:v>
      </x:c>
      <x:c r="V54" s="18">
        <x:f>IFERROR(VLOOKUP(U54, $A$5:$B$52, 2, FALSE), "")</x:f>
      </x:c>
      <x:c r="W54" s="17" t="s">
        <x:v>60</x:v>
      </x:c>
      <x:c r="X54" s="17" t="s">
        <x:v>425</x:v>
      </x:c>
      <x:c r="Y54" s="17" t="s">
        <x:v>123</x:v>
      </x:c>
      <x:c r="Z54" s="18" t="s">
        <x:v>203</x:v>
      </x:c>
      <x:c r="AI54" s="18" t="s">
        <x:v>115</x:v>
      </x:c>
    </x:row>
    <x:row r="55" spans="1:39">
      <x:c r="F55" s="18">
        <x:f>IFERROR(VLOOKUP(G55, $A$5:$B$52, 2, FALSE), "")</x:f>
      </x:c>
      <x:c r="G55" s="17">
        <x:v>13</x:v>
      </x:c>
      <x:c r="H55" s="17" t="s">
        <x:v>60</x:v>
      </x:c>
      <x:c r="I55" s="17">
        <x:v>51</x:v>
      </x:c>
      <x:c r="J55" s="18" t="s">
        <x:v>246</x:v>
      </x:c>
      <x:c r="K55" s="18" t="s">
        <x:v>234</x:v>
      </x:c>
      <x:c r="L55" s="17" t="s">
        <x:v>120</x:v>
      </x:c>
      <x:c r="M55" s="17">
        <x:v>198</x:v>
      </x:c>
      <x:c r="N55" s="18">
        <x:f>IFERROR(VLOOKUP(G55, $A$5:$C$52, 3, FALSE), "")</x:f>
      </x:c>
      <x:c r="O55" s="18" t="s">
        <x:v>203</x:v>
      </x:c>
      <x:c r="P55" s="17" t="s">
        <x:v>203</x:v>
      </x:c>
      <x:c r="Q55" s="17">
        <x:v>54</x:v>
      </x:c>
      <x:c r="R55" s="18" t="s">
        <x:v>509</x:v>
      </x:c>
      <x:c r="S55" s="17" t="s">
        <x:v>510</x:v>
      </x:c>
      <x:c r="T55" s="17" t="s">
        <x:v>419</x:v>
      </x:c>
      <x:c r="U55" s="17">
        <x:v>15</x:v>
      </x:c>
      <x:c r="V55" s="18">
        <x:f>IFERROR(VLOOKUP(U55, $A$5:$B$52, 2, FALSE), "")</x:f>
      </x:c>
      <x:c r="W55" s="17" t="s">
        <x:v>60</x:v>
      </x:c>
      <x:c r="X55" s="17" t="s">
        <x:v>422</x:v>
      </x:c>
      <x:c r="Y55" s="17" t="s">
        <x:v>123</x:v>
      </x:c>
      <x:c r="Z55" s="18" t="s">
        <x:v>203</x:v>
      </x:c>
      <x:c r="AI55" s="18" t="s">
        <x:v>116</x:v>
      </x:c>
    </x:row>
    <x:row r="56" spans="1:39">
      <x:c r="F56" s="18">
        <x:f>IFERROR(VLOOKUP(G56, $A$5:$B$52, 2, FALSE), "")</x:f>
      </x:c>
      <x:c r="G56" s="17">
        <x:v>13</x:v>
      </x:c>
      <x:c r="H56" s="17" t="s">
        <x:v>60</x:v>
      </x:c>
      <x:c r="I56" s="17">
        <x:v>52</x:v>
      </x:c>
      <x:c r="J56" s="18" t="s">
        <x:v>247</x:v>
      </x:c>
      <x:c r="K56" s="18" t="s">
        <x:v>234</x:v>
      </x:c>
      <x:c r="L56" s="17" t="s">
        <x:v>121</x:v>
      </x:c>
      <x:c r="M56" s="17">
        <x:v>214</x:v>
      </x:c>
      <x:c r="N56" s="18">
        <x:f>IFERROR(VLOOKUP(G56, $A$5:$C$52, 3, FALSE), "")</x:f>
      </x:c>
      <x:c r="O56" s="18" t="s">
        <x:v>203</x:v>
      </x:c>
      <x:c r="P56" s="17" t="s">
        <x:v>203</x:v>
      </x:c>
      <x:c r="Q56" s="17">
        <x:v>51</x:v>
      </x:c>
      <x:c r="R56" s="18" t="s">
        <x:v>511</x:v>
      </x:c>
      <x:c r="S56" s="17" t="s">
        <x:v>512</x:v>
      </x:c>
      <x:c r="T56" s="17" t="s">
        <x:v>419</x:v>
      </x:c>
      <x:c r="U56" s="17">
        <x:v>16</x:v>
      </x:c>
      <x:c r="V56" s="18">
        <x:f>IFERROR(VLOOKUP(U56, $A$5:$B$52, 2, FALSE), "")</x:f>
      </x:c>
      <x:c r="W56" s="17" t="s">
        <x:v>60</x:v>
      </x:c>
      <x:c r="X56" s="17" t="s">
        <x:v>420</x:v>
      </x:c>
      <x:c r="Y56" s="17" t="s">
        <x:v>123</x:v>
      </x:c>
      <x:c r="Z56" s="18" t="s">
        <x:v>203</x:v>
      </x:c>
    </x:row>
    <x:row r="57" spans="1:39">
      <x:c r="F57" s="18">
        <x:f>IFERROR(VLOOKUP(G57, $A$5:$B$52, 2, FALSE), "")</x:f>
      </x:c>
      <x:c r="G57" s="17">
        <x:v>13</x:v>
      </x:c>
      <x:c r="H57" s="17" t="s">
        <x:v>60</x:v>
      </x:c>
      <x:c r="I57" s="17">
        <x:v>53</x:v>
      </x:c>
      <x:c r="J57" s="18" t="s">
        <x:v>248</x:v>
      </x:c>
      <x:c r="K57" s="18" t="s">
        <x:v>234</x:v>
      </x:c>
      <x:c r="L57" s="17" t="s">
        <x:v>122</x:v>
      </x:c>
      <x:c r="M57" s="17">
        <x:v>230</x:v>
      </x:c>
      <x:c r="N57" s="18">
        <x:f>IFERROR(VLOOKUP(G57, $A$5:$C$52, 3, FALSE), "")</x:f>
      </x:c>
      <x:c r="O57" s="18" t="s">
        <x:v>203</x:v>
      </x:c>
      <x:c r="P57" s="17" t="s">
        <x:v>203</x:v>
      </x:c>
      <x:c r="Q57" s="17">
        <x:v>52</x:v>
      </x:c>
      <x:c r="R57" s="18" t="s">
        <x:v>513</x:v>
      </x:c>
      <x:c r="S57" s="17" t="s">
        <x:v>514</x:v>
      </x:c>
      <x:c r="T57" s="17" t="s">
        <x:v>419</x:v>
      </x:c>
      <x:c r="U57" s="17">
        <x:v>16</x:v>
      </x:c>
      <x:c r="V57" s="18">
        <x:f>IFERROR(VLOOKUP(U57, $A$5:$B$52, 2, FALSE), "")</x:f>
      </x:c>
      <x:c r="W57" s="17" t="s">
        <x:v>60</x:v>
      </x:c>
      <x:c r="X57" s="17" t="s">
        <x:v>422</x:v>
      </x:c>
      <x:c r="Y57" s="17" t="s">
        <x:v>123</x:v>
      </x:c>
      <x:c r="Z57" s="18" t="s">
        <x:v>203</x:v>
      </x:c>
    </x:row>
    <x:row r="58" spans="1:39">
      <x:c r="F58" s="18">
        <x:f>IFERROR(VLOOKUP(G58, $A$5:$B$52, 2, FALSE), "")</x:f>
      </x:c>
      <x:c r="G58" s="17">
        <x:v>14</x:v>
      </x:c>
      <x:c r="H58" s="17" t="s">
        <x:v>60</x:v>
      </x:c>
      <x:c r="I58" s="17">
        <x:v>54</x:v>
      </x:c>
      <x:c r="J58" s="18" t="s">
        <x:v>249</x:v>
      </x:c>
      <x:c r="K58" s="18" t="s">
        <x:v>234</x:v>
      </x:c>
      <x:c r="L58" s="17" t="s">
        <x:v>117</x:v>
      </x:c>
      <x:c r="M58" s="17">
        <x:v>246</x:v>
      </x:c>
      <x:c r="N58" s="18">
        <x:f>IFERROR(VLOOKUP(G58, $A$5:$C$52, 3, FALSE), "")</x:f>
      </x:c>
      <x:c r="O58" s="18" t="s">
        <x:v>203</x:v>
      </x:c>
      <x:c r="P58" s="17" t="s">
        <x:v>203</x:v>
      </x:c>
      <x:c r="Q58" s="17">
        <x:v>53</x:v>
      </x:c>
      <x:c r="R58" s="18" t="s">
        <x:v>515</x:v>
      </x:c>
      <x:c r="S58" s="17" t="s">
        <x:v>516</x:v>
      </x:c>
      <x:c r="T58" s="17" t="s">
        <x:v>419</x:v>
      </x:c>
      <x:c r="U58" s="17">
        <x:v>16</x:v>
      </x:c>
      <x:c r="V58" s="18">
        <x:f>IFERROR(VLOOKUP(U58, $A$5:$B$52, 2, FALSE), "")</x:f>
      </x:c>
      <x:c r="W58" s="17" t="s">
        <x:v>60</x:v>
      </x:c>
      <x:c r="X58" s="17" t="s">
        <x:v>425</x:v>
      </x:c>
      <x:c r="Y58" s="17" t="s">
        <x:v>123</x:v>
      </x:c>
      <x:c r="Z58" s="18" t="s">
        <x:v>203</x:v>
      </x:c>
    </x:row>
    <x:row r="59" spans="1:39">
      <x:c r="F59" s="18">
        <x:f>IFERROR(VLOOKUP(G59, $A$5:$B$52, 2, FALSE), "")</x:f>
      </x:c>
      <x:c r="G59" s="17">
        <x:v>14</x:v>
      </x:c>
      <x:c r="H59" s="17" t="s">
        <x:v>60</x:v>
      </x:c>
      <x:c r="I59" s="17">
        <x:v>55</x:v>
      </x:c>
      <x:c r="J59" s="18" t="s">
        <x:v>250</x:v>
      </x:c>
      <x:c r="K59" s="18" t="s">
        <x:v>234</x:v>
      </x:c>
      <x:c r="L59" s="17" t="s">
        <x:v>118</x:v>
      </x:c>
      <x:c r="M59" s="17">
        <x:v>262</x:v>
      </x:c>
      <x:c r="N59" s="18">
        <x:f>IFERROR(VLOOKUP(G59, $A$5:$C$52, 3, FALSE), "")</x:f>
      </x:c>
      <x:c r="O59" s="18" t="s">
        <x:v>203</x:v>
      </x:c>
      <x:c r="P59" s="17" t="s">
        <x:v>203</x:v>
      </x:c>
      <x:c r="Q59" s="17">
        <x:v>56</x:v>
      </x:c>
      <x:c r="R59" s="18" t="s">
        <x:v>517</x:v>
      </x:c>
      <x:c r="S59" s="17" t="s">
        <x:v>169</x:v>
      </x:c>
      <x:c r="T59" s="17" t="s">
        <x:v>419</x:v>
      </x:c>
      <x:c r="U59" s="17">
        <x:v>17</x:v>
      </x:c>
      <x:c r="V59" s="18">
        <x:f>IFERROR(VLOOKUP(U59, $A$5:$B$52, 2, FALSE), "")</x:f>
      </x:c>
      <x:c r="W59" s="17" t="s">
        <x:v>61</x:v>
      </x:c>
      <x:c r="X59" s="17" t="s">
        <x:v>420</x:v>
      </x:c>
      <x:c r="Y59" s="17" t="s">
        <x:v>123</x:v>
      </x:c>
      <x:c r="Z59" s="18" t="s">
        <x:v>203</x:v>
      </x:c>
    </x:row>
    <x:row r="60" spans="1:39">
      <x:c r="F60" s="18">
        <x:f>IFERROR(VLOOKUP(G60, $A$5:$B$52, 2, FALSE), "")</x:f>
      </x:c>
      <x:c r="G60" s="17">
        <x:v>14</x:v>
      </x:c>
      <x:c r="H60" s="17" t="s">
        <x:v>60</x:v>
      </x:c>
      <x:c r="I60" s="17">
        <x:v>56</x:v>
      </x:c>
      <x:c r="J60" s="18" t="s">
        <x:v>251</x:v>
      </x:c>
      <x:c r="K60" s="18" t="s">
        <x:v>234</x:v>
      </x:c>
      <x:c r="L60" s="17" t="s">
        <x:v>119</x:v>
      </x:c>
      <x:c r="M60" s="17">
        <x:v>278</x:v>
      </x:c>
      <x:c r="N60" s="18">
        <x:f>IFERROR(VLOOKUP(G60, $A$5:$C$52, 3, FALSE), "")</x:f>
      </x:c>
      <x:c r="O60" s="18" t="s">
        <x:v>203</x:v>
      </x:c>
      <x:c r="P60" s="17" t="s">
        <x:v>203</x:v>
      </x:c>
      <x:c r="Q60" s="17">
        <x:v>57</x:v>
      </x:c>
      <x:c r="R60" s="18" t="s">
        <x:v>518</x:v>
      </x:c>
      <x:c r="S60" s="17" t="s">
        <x:v>143</x:v>
      </x:c>
      <x:c r="T60" s="17" t="s">
        <x:v>419</x:v>
      </x:c>
      <x:c r="U60" s="17">
        <x:v>17</x:v>
      </x:c>
      <x:c r="V60" s="18">
        <x:f>IFERROR(VLOOKUP(U60, $A$5:$B$52, 2, FALSE), "")</x:f>
      </x:c>
      <x:c r="W60" s="17" t="s">
        <x:v>61</x:v>
      </x:c>
      <x:c r="X60" s="17" t="s">
        <x:v>422</x:v>
      </x:c>
      <x:c r="Y60" s="17" t="s">
        <x:v>123</x:v>
      </x:c>
      <x:c r="Z60" s="18" t="s">
        <x:v>203</x:v>
      </x:c>
    </x:row>
    <x:row r="61" spans="1:39">
      <x:c r="F61" s="18">
        <x:f>IFERROR(VLOOKUP(G61, $A$5:$B$52, 2, FALSE), "")</x:f>
      </x:c>
      <x:c r="G61" s="17">
        <x:v>15</x:v>
      </x:c>
      <x:c r="H61" s="17" t="s">
        <x:v>60</x:v>
      </x:c>
      <x:c r="I61" s="17">
        <x:v>57</x:v>
      </x:c>
      <x:c r="J61" s="18" t="s">
        <x:v>252</x:v>
      </x:c>
      <x:c r="K61" s="18" t="s">
        <x:v>234</x:v>
      </x:c>
      <x:c r="L61" s="17" t="s">
        <x:v>120</x:v>
      </x:c>
      <x:c r="M61" s="17">
        <x:v>294</x:v>
      </x:c>
      <x:c r="N61" s="18">
        <x:f>IFERROR(VLOOKUP(G61, $A$5:$C$52, 3, FALSE), "")</x:f>
      </x:c>
      <x:c r="O61" s="18" t="s">
        <x:v>203</x:v>
      </x:c>
      <x:c r="P61" s="17" t="s">
        <x:v>203</x:v>
      </x:c>
      <x:c r="Q61" s="17">
        <x:v>58</x:v>
      </x:c>
      <x:c r="R61" s="18" t="s">
        <x:v>519</x:v>
      </x:c>
      <x:c r="S61" s="17" t="s">
        <x:v>520</x:v>
      </x:c>
      <x:c r="T61" s="17" t="s">
        <x:v>419</x:v>
      </x:c>
      <x:c r="U61" s="17">
        <x:v>17</x:v>
      </x:c>
      <x:c r="V61" s="18">
        <x:f>IFERROR(VLOOKUP(U61, $A$5:$B$52, 2, FALSE), "")</x:f>
      </x:c>
      <x:c r="W61" s="17" t="s">
        <x:v>61</x:v>
      </x:c>
      <x:c r="X61" s="17" t="s">
        <x:v>425</x:v>
      </x:c>
      <x:c r="Y61" s="17" t="s">
        <x:v>123</x:v>
      </x:c>
      <x:c r="Z61" s="18" t="s">
        <x:v>203</x:v>
      </x:c>
    </x:row>
    <x:row r="62" spans="1:39">
      <x:c r="F62" s="18">
        <x:f>IFERROR(VLOOKUP(G62, $A$5:$B$52, 2, FALSE), "")</x:f>
      </x:c>
      <x:c r="G62" s="17">
        <x:v>15</x:v>
      </x:c>
      <x:c r="H62" s="17" t="s">
        <x:v>60</x:v>
      </x:c>
      <x:c r="I62" s="17">
        <x:v>58</x:v>
      </x:c>
      <x:c r="J62" s="18" t="s">
        <x:v>253</x:v>
      </x:c>
      <x:c r="K62" s="18" t="s">
        <x:v>234</x:v>
      </x:c>
      <x:c r="L62" s="17" t="s">
        <x:v>121</x:v>
      </x:c>
      <x:c r="M62" s="17">
        <x:v>310</x:v>
      </x:c>
      <x:c r="N62" s="18">
        <x:f>IFERROR(VLOOKUP(G62, $A$5:$C$52, 3, FALSE), "")</x:f>
      </x:c>
      <x:c r="O62" s="18" t="s">
        <x:v>203</x:v>
      </x:c>
      <x:c r="P62" s="17" t="s">
        <x:v>203</x:v>
      </x:c>
      <x:c r="Q62" s="17">
        <x:v>59</x:v>
      </x:c>
      <x:c r="R62" s="18" t="s">
        <x:v>521</x:v>
      </x:c>
      <x:c r="S62" s="17" t="s">
        <x:v>522</x:v>
      </x:c>
      <x:c r="T62" s="17" t="s">
        <x:v>419</x:v>
      </x:c>
      <x:c r="U62" s="17">
        <x:v>18</x:v>
      </x:c>
      <x:c r="V62" s="18">
        <x:f>IFERROR(VLOOKUP(U62, $A$5:$B$52, 2, FALSE), "")</x:f>
      </x:c>
      <x:c r="W62" s="17" t="s">
        <x:v>61</x:v>
      </x:c>
      <x:c r="X62" s="17" t="s">
        <x:v>420</x:v>
      </x:c>
      <x:c r="Y62" s="17" t="s">
        <x:v>123</x:v>
      </x:c>
      <x:c r="Z62" s="18" t="s">
        <x:v>203</x:v>
      </x:c>
    </x:row>
    <x:row r="63" spans="1:39">
      <x:c r="F63" s="18">
        <x:f>IFERROR(VLOOKUP(G63, $A$5:$B$52, 2, FALSE), "")</x:f>
      </x:c>
      <x:c r="G63" s="17">
        <x:v>15</x:v>
      </x:c>
      <x:c r="H63" s="17" t="s">
        <x:v>60</x:v>
      </x:c>
      <x:c r="I63" s="17">
        <x:v>59</x:v>
      </x:c>
      <x:c r="J63" s="18" t="s">
        <x:v>254</x:v>
      </x:c>
      <x:c r="K63" s="18" t="s">
        <x:v>234</x:v>
      </x:c>
      <x:c r="L63" s="17" t="s">
        <x:v>122</x:v>
      </x:c>
      <x:c r="M63" s="17">
        <x:v>326</x:v>
      </x:c>
      <x:c r="N63" s="18">
        <x:f>IFERROR(VLOOKUP(G63, $A$5:$C$52, 3, FALSE), "")</x:f>
      </x:c>
      <x:c r="O63" s="18" t="s">
        <x:v>203</x:v>
      </x:c>
      <x:c r="P63" s="17" t="s">
        <x:v>203</x:v>
      </x:c>
      <x:c r="Q63" s="17">
        <x:v>60</x:v>
      </x:c>
      <x:c r="R63" s="18" t="s">
        <x:v>523</x:v>
      </x:c>
      <x:c r="S63" s="17" t="s">
        <x:v>524</x:v>
      </x:c>
      <x:c r="T63" s="17" t="s">
        <x:v>419</x:v>
      </x:c>
      <x:c r="U63" s="17">
        <x:v>18</x:v>
      </x:c>
      <x:c r="V63" s="18">
        <x:f>IFERROR(VLOOKUP(U63, $A$5:$B$52, 2, FALSE), "")</x:f>
      </x:c>
      <x:c r="W63" s="17" t="s">
        <x:v>61</x:v>
      </x:c>
      <x:c r="X63" s="17" t="s">
        <x:v>422</x:v>
      </x:c>
      <x:c r="Y63" s="17" t="s">
        <x:v>123</x:v>
      </x:c>
      <x:c r="Z63" s="18" t="s">
        <x:v>203</x:v>
      </x:c>
    </x:row>
    <x:row r="64" spans="1:39">
      <x:c r="F64" s="18">
        <x:f>IFERROR(VLOOKUP(G64, $A$5:$B$52, 2, FALSE), "")</x:f>
      </x:c>
      <x:c r="G64" s="17">
        <x:v>16</x:v>
      </x:c>
      <x:c r="H64" s="17" t="s">
        <x:v>60</x:v>
      </x:c>
      <x:c r="I64" s="17">
        <x:v>60</x:v>
      </x:c>
      <x:c r="J64" s="18" t="s">
        <x:v>255</x:v>
      </x:c>
      <x:c r="K64" s="18" t="s">
        <x:v>234</x:v>
      </x:c>
      <x:c r="L64" s="17" t="s">
        <x:v>117</x:v>
      </x:c>
      <x:c r="M64" s="17">
        <x:v>342</x:v>
      </x:c>
      <x:c r="N64" s="18">
        <x:f>IFERROR(VLOOKUP(G64, $A$5:$C$52, 3, FALSE), "")</x:f>
      </x:c>
      <x:c r="O64" s="18" t="s">
        <x:v>203</x:v>
      </x:c>
      <x:c r="P64" s="17" t="s">
        <x:v>203</x:v>
      </x:c>
      <x:c r="Q64" s="17">
        <x:v>61</x:v>
      </x:c>
      <x:c r="R64" s="18" t="s">
        <x:v>525</x:v>
      </x:c>
      <x:c r="S64" s="17" t="s">
        <x:v>526</x:v>
      </x:c>
      <x:c r="T64" s="17" t="s">
        <x:v>419</x:v>
      </x:c>
      <x:c r="U64" s="17">
        <x:v>18</x:v>
      </x:c>
      <x:c r="V64" s="18">
        <x:f>IFERROR(VLOOKUP(U64, $A$5:$B$52, 2, FALSE), "")</x:f>
      </x:c>
      <x:c r="W64" s="17" t="s">
        <x:v>61</x:v>
      </x:c>
      <x:c r="X64" s="17" t="s">
        <x:v>425</x:v>
      </x:c>
      <x:c r="Y64" s="17" t="s">
        <x:v>123</x:v>
      </x:c>
      <x:c r="Z64" s="18" t="s">
        <x:v>203</x:v>
      </x:c>
    </x:row>
    <x:row r="65" spans="1:39">
      <x:c r="F65" s="18">
        <x:f>IFERROR(VLOOKUP(G65, $A$5:$B$52, 2, FALSE), "")</x:f>
      </x:c>
      <x:c r="G65" s="17">
        <x:v>16</x:v>
      </x:c>
      <x:c r="H65" s="17" t="s">
        <x:v>60</x:v>
      </x:c>
      <x:c r="I65" s="17">
        <x:v>61</x:v>
      </x:c>
      <x:c r="J65" s="18" t="s">
        <x:v>256</x:v>
      </x:c>
      <x:c r="K65" s="18" t="s">
        <x:v>234</x:v>
      </x:c>
      <x:c r="L65" s="17" t="s">
        <x:v>118</x:v>
      </x:c>
      <x:c r="M65" s="17">
        <x:v>358</x:v>
      </x:c>
      <x:c r="N65" s="18">
        <x:f>IFERROR(VLOOKUP(G65, $A$5:$C$52, 3, FALSE), "")</x:f>
      </x:c>
      <x:c r="O65" s="18" t="s">
        <x:v>203</x:v>
      </x:c>
      <x:c r="P65" s="17" t="s">
        <x:v>203</x:v>
      </x:c>
      <x:c r="Q65" s="17">
        <x:v>62</x:v>
      </x:c>
      <x:c r="R65" s="18" t="s">
        <x:v>527</x:v>
      </x:c>
      <x:c r="S65" s="17" t="s">
        <x:v>171</x:v>
      </x:c>
      <x:c r="T65" s="17" t="s">
        <x:v>419</x:v>
      </x:c>
      <x:c r="U65" s="17">
        <x:v>19</x:v>
      </x:c>
      <x:c r="V65" s="18">
        <x:f>IFERROR(VLOOKUP(U65, $A$5:$B$52, 2, FALSE), "")</x:f>
      </x:c>
      <x:c r="W65" s="17" t="s">
        <x:v>61</x:v>
      </x:c>
      <x:c r="X65" s="17" t="s">
        <x:v>420</x:v>
      </x:c>
      <x:c r="Y65" s="17" t="s">
        <x:v>123</x:v>
      </x:c>
      <x:c r="Z65" s="18" t="s">
        <x:v>203</x:v>
      </x:c>
    </x:row>
    <x:row r="66" spans="1:39">
      <x:c r="F66" s="18">
        <x:f>IFERROR(VLOOKUP(G66, $A$5:$B$52, 2, FALSE), "")</x:f>
      </x:c>
      <x:c r="G66" s="17">
        <x:v>16</x:v>
      </x:c>
      <x:c r="H66" s="17" t="s">
        <x:v>60</x:v>
      </x:c>
      <x:c r="I66" s="17">
        <x:v>62</x:v>
      </x:c>
      <x:c r="J66" s="18" t="s">
        <x:v>257</x:v>
      </x:c>
      <x:c r="K66" s="18" t="s">
        <x:v>234</x:v>
      </x:c>
      <x:c r="L66" s="17" t="s">
        <x:v>119</x:v>
      </x:c>
      <x:c r="M66" s="17">
        <x:v>374</x:v>
      </x:c>
      <x:c r="N66" s="18">
        <x:f>IFERROR(VLOOKUP(G66, $A$5:$C$52, 3, FALSE), "")</x:f>
      </x:c>
      <x:c r="O66" s="18" t="s">
        <x:v>203</x:v>
      </x:c>
      <x:c r="P66" s="17" t="s">
        <x:v>203</x:v>
      </x:c>
      <x:c r="Q66" s="17">
        <x:v>63</x:v>
      </x:c>
      <x:c r="R66" s="18" t="s">
        <x:v>528</x:v>
      </x:c>
      <x:c r="S66" s="17" t="s">
        <x:v>529</x:v>
      </x:c>
      <x:c r="T66" s="17" t="s">
        <x:v>419</x:v>
      </x:c>
      <x:c r="U66" s="17">
        <x:v>19</x:v>
      </x:c>
      <x:c r="V66" s="18">
        <x:f>IFERROR(VLOOKUP(U66, $A$5:$B$52, 2, FALSE), "")</x:f>
      </x:c>
      <x:c r="W66" s="17" t="s">
        <x:v>61</x:v>
      </x:c>
      <x:c r="X66" s="17" t="s">
        <x:v>422</x:v>
      </x:c>
      <x:c r="Y66" s="17" t="s">
        <x:v>123</x:v>
      </x:c>
      <x:c r="Z66" s="18" t="s">
        <x:v>203</x:v>
      </x:c>
    </x:row>
    <x:row r="67" spans="1:39">
      <x:c r="F67" s="18">
        <x:f>IFERROR(VLOOKUP(G67, $A$5:$B$52, 2, FALSE), "")</x:f>
      </x:c>
      <x:c r="G67" s="17">
        <x:v>17</x:v>
      </x:c>
      <x:c r="H67" s="17" t="s">
        <x:v>61</x:v>
      </x:c>
      <x:c r="I67" s="17">
        <x:v>63</x:v>
      </x:c>
      <x:c r="J67" s="18" t="s">
        <x:v>258</x:v>
      </x:c>
      <x:c r="K67" s="18" t="s">
        <x:v>259</x:v>
      </x:c>
      <x:c r="L67" s="17" t="s">
        <x:v>120</x:v>
      </x:c>
      <x:c r="M67" s="17">
        <x:v>12</x:v>
      </x:c>
      <x:c r="N67" s="18">
        <x:f>IFERROR(VLOOKUP(G67, $A$5:$C$52, 3, FALSE), "")</x:f>
      </x:c>
      <x:c r="O67" s="18" t="s">
        <x:v>203</x:v>
      </x:c>
      <x:c r="P67" s="17" t="s">
        <x:v>203</x:v>
      </x:c>
      <x:c r="Q67" s="17">
        <x:v>65</x:v>
      </x:c>
      <x:c r="R67" s="18" t="s">
        <x:v>530</x:v>
      </x:c>
      <x:c r="S67" s="17" t="s">
        <x:v>531</x:v>
      </x:c>
      <x:c r="T67" s="17" t="s">
        <x:v>419</x:v>
      </x:c>
      <x:c r="U67" s="17">
        <x:v>19</x:v>
      </x:c>
      <x:c r="V67" s="18">
        <x:f>IFERROR(VLOOKUP(U67, $A$5:$B$52, 2, FALSE), "")</x:f>
      </x:c>
      <x:c r="W67" s="17" t="s">
        <x:v>61</x:v>
      </x:c>
      <x:c r="X67" s="17" t="s">
        <x:v>425</x:v>
      </x:c>
      <x:c r="Y67" s="17" t="s">
        <x:v>123</x:v>
      </x:c>
      <x:c r="Z67" s="18" t="s">
        <x:v>203</x:v>
      </x:c>
    </x:row>
    <x:row r="68" spans="1:39">
      <x:c r="F68" s="18">
        <x:f>IFERROR(VLOOKUP(G68, $A$5:$B$52, 2, FALSE), "")</x:f>
      </x:c>
      <x:c r="G68" s="17">
        <x:v>17</x:v>
      </x:c>
      <x:c r="H68" s="17" t="s">
        <x:v>61</x:v>
      </x:c>
      <x:c r="I68" s="17">
        <x:v>64</x:v>
      </x:c>
      <x:c r="J68" s="18" t="s">
        <x:v>260</x:v>
      </x:c>
      <x:c r="K68" s="18" t="s">
        <x:v>261</x:v>
      </x:c>
      <x:c r="L68" s="17" t="s">
        <x:v>120</x:v>
      </x:c>
      <x:c r="M68" s="17">
        <x:v>13</x:v>
      </x:c>
      <x:c r="N68" s="18">
        <x:f>IFERROR(VLOOKUP(G68, $A$5:$C$52, 3, FALSE), "")</x:f>
      </x:c>
      <x:c r="O68" s="18" t="s">
        <x:v>203</x:v>
      </x:c>
      <x:c r="P68" s="17" t="s">
        <x:v>203</x:v>
      </x:c>
      <x:c r="Q68" s="17">
        <x:v>66</x:v>
      </x:c>
      <x:c r="R68" s="18" t="s">
        <x:v>532</x:v>
      </x:c>
      <x:c r="S68" s="17" t="s">
        <x:v>533</x:v>
      </x:c>
      <x:c r="T68" s="17" t="s">
        <x:v>419</x:v>
      </x:c>
      <x:c r="U68" s="17">
        <x:v>20</x:v>
      </x:c>
      <x:c r="V68" s="18">
        <x:f>IFERROR(VLOOKUP(U68, $A$5:$B$52, 2, FALSE), "")</x:f>
      </x:c>
      <x:c r="W68" s="17" t="s">
        <x:v>61</x:v>
      </x:c>
      <x:c r="X68" s="17" t="s">
        <x:v>420</x:v>
      </x:c>
      <x:c r="Y68" s="17" t="s">
        <x:v>123</x:v>
      </x:c>
      <x:c r="Z68" s="18" t="s">
        <x:v>203</x:v>
      </x:c>
    </x:row>
    <x:row r="69" spans="1:39">
      <x:c r="F69" s="18">
        <x:f>IFERROR(VLOOKUP(G69, $A$5:$B$52, 2, FALSE), "")</x:f>
      </x:c>
      <x:c r="G69" s="17">
        <x:v>17</x:v>
      </x:c>
      <x:c r="H69" s="17" t="s">
        <x:v>61</x:v>
      </x:c>
      <x:c r="I69" s="17">
        <x:v>65</x:v>
      </x:c>
      <x:c r="J69" s="18" t="s">
        <x:v>262</x:v>
      </x:c>
      <x:c r="K69" s="18" t="s">
        <x:v>263</x:v>
      </x:c>
      <x:c r="L69" s="17" t="s">
        <x:v>120</x:v>
      </x:c>
      <x:c r="M69" s="17">
        <x:v>14</x:v>
      </x:c>
      <x:c r="N69" s="18">
        <x:f>IFERROR(VLOOKUP(G69, $A$5:$C$52, 3, FALSE), "")</x:f>
      </x:c>
      <x:c r="O69" s="18" t="s">
        <x:v>203</x:v>
      </x:c>
      <x:c r="P69" s="17" t="s">
        <x:v>203</x:v>
      </x:c>
      <x:c r="Q69" s="17">
        <x:v>67</x:v>
      </x:c>
      <x:c r="R69" s="18" t="s">
        <x:v>534</x:v>
      </x:c>
      <x:c r="S69" s="17" t="s">
        <x:v>535</x:v>
      </x:c>
      <x:c r="T69" s="17" t="s">
        <x:v>419</x:v>
      </x:c>
      <x:c r="U69" s="17">
        <x:v>20</x:v>
      </x:c>
      <x:c r="V69" s="18">
        <x:f>IFERROR(VLOOKUP(U69, $A$5:$B$52, 2, FALSE), "")</x:f>
      </x:c>
      <x:c r="W69" s="17" t="s">
        <x:v>61</x:v>
      </x:c>
      <x:c r="X69" s="17" t="s">
        <x:v>422</x:v>
      </x:c>
      <x:c r="Y69" s="17" t="s">
        <x:v>123</x:v>
      </x:c>
      <x:c r="Z69" s="18" t="s">
        <x:v>203</x:v>
      </x:c>
    </x:row>
    <x:row r="70" spans="1:39">
      <x:c r="F70" s="18">
        <x:f>IFERROR(VLOOKUP(G70, $A$5:$B$52, 2, FALSE), "")</x:f>
      </x:c>
      <x:c r="G70" s="17">
        <x:v>17</x:v>
      </x:c>
      <x:c r="H70" s="17" t="s">
        <x:v>61</x:v>
      </x:c>
      <x:c r="I70" s="17">
        <x:v>66</x:v>
      </x:c>
      <x:c r="J70" s="18" t="s">
        <x:v>264</x:v>
      </x:c>
      <x:c r="K70" s="18" t="s">
        <x:v>259</x:v>
      </x:c>
      <x:c r="L70" s="17" t="s">
        <x:v>121</x:v>
      </x:c>
      <x:c r="M70" s="17">
        <x:v>15</x:v>
      </x:c>
      <x:c r="N70" s="18">
        <x:f>IFERROR(VLOOKUP(G70, $A$5:$C$52, 3, FALSE), "")</x:f>
      </x:c>
      <x:c r="O70" s="18" t="s">
        <x:v>203</x:v>
      </x:c>
      <x:c r="P70" s="17" t="s">
        <x:v>203</x:v>
      </x:c>
      <x:c r="Q70" s="17">
        <x:v>68</x:v>
      </x:c>
      <x:c r="R70" s="18" t="s">
        <x:v>536</x:v>
      </x:c>
      <x:c r="S70" s="17" t="s">
        <x:v>537</x:v>
      </x:c>
      <x:c r="T70" s="17" t="s">
        <x:v>419</x:v>
      </x:c>
      <x:c r="U70" s="17">
        <x:v>20</x:v>
      </x:c>
      <x:c r="V70" s="18">
        <x:f>IFERROR(VLOOKUP(U70, $A$5:$B$52, 2, FALSE), "")</x:f>
      </x:c>
      <x:c r="W70" s="17" t="s">
        <x:v>61</x:v>
      </x:c>
      <x:c r="X70" s="17" t="s">
        <x:v>425</x:v>
      </x:c>
      <x:c r="Y70" s="17" t="s">
        <x:v>123</x:v>
      </x:c>
      <x:c r="Z70" s="18" t="s">
        <x:v>203</x:v>
      </x:c>
    </x:row>
    <x:row r="71" spans="1:39">
      <x:c r="F71" s="18">
        <x:f>IFERROR(VLOOKUP(G71, $A$5:$B$52, 2, FALSE), "")</x:f>
      </x:c>
      <x:c r="G71" s="17">
        <x:v>17</x:v>
      </x:c>
      <x:c r="H71" s="17" t="s">
        <x:v>61</x:v>
      </x:c>
      <x:c r="I71" s="17">
        <x:v>67</x:v>
      </x:c>
      <x:c r="J71" s="18" t="s">
        <x:v>265</x:v>
      </x:c>
      <x:c r="K71" s="18" t="s">
        <x:v>266</x:v>
      </x:c>
      <x:c r="L71" s="17" t="s">
        <x:v>121</x:v>
      </x:c>
      <x:c r="M71" s="17">
        <x:v>16</x:v>
      </x:c>
      <x:c r="N71" s="18">
        <x:f>IFERROR(VLOOKUP(G71, $A$5:$C$52, 3, FALSE), "")</x:f>
      </x:c>
      <x:c r="O71" s="18" t="s">
        <x:v>203</x:v>
      </x:c>
      <x:c r="P71" s="17" t="s">
        <x:v>203</x:v>
      </x:c>
      <x:c r="Q71" s="17">
        <x:v>69</x:v>
      </x:c>
      <x:c r="R71" s="18" t="s">
        <x:v>538</x:v>
      </x:c>
      <x:c r="S71" s="17" t="s">
        <x:v>539</x:v>
      </x:c>
      <x:c r="T71" s="17" t="s">
        <x:v>419</x:v>
      </x:c>
      <x:c r="U71" s="17">
        <x:v>21</x:v>
      </x:c>
      <x:c r="V71" s="18">
        <x:f>IFERROR(VLOOKUP(U71, $A$5:$B$52, 2, FALSE), "")</x:f>
      </x:c>
      <x:c r="W71" s="17" t="s">
        <x:v>61</x:v>
      </x:c>
      <x:c r="X71" s="17" t="s">
        <x:v>420</x:v>
      </x:c>
      <x:c r="Y71" s="17" t="s">
        <x:v>123</x:v>
      </x:c>
      <x:c r="Z71" s="18" t="s">
        <x:v>203</x:v>
      </x:c>
    </x:row>
    <x:row r="72" spans="1:39">
      <x:c r="F72" s="18">
        <x:f>IFERROR(VLOOKUP(G72, $A$5:$B$52, 2, FALSE), "")</x:f>
      </x:c>
      <x:c r="G72" s="17">
        <x:v>17</x:v>
      </x:c>
      <x:c r="H72" s="17" t="s">
        <x:v>61</x:v>
      </x:c>
      <x:c r="I72" s="17">
        <x:v>68</x:v>
      </x:c>
      <x:c r="J72" s="18" t="s">
        <x:v>267</x:v>
      </x:c>
      <x:c r="K72" s="18" t="s">
        <x:v>259</x:v>
      </x:c>
      <x:c r="L72" s="17" t="s">
        <x:v>122</x:v>
      </x:c>
      <x:c r="M72" s="17">
        <x:v>17</x:v>
      </x:c>
      <x:c r="N72" s="18">
        <x:f>IFERROR(VLOOKUP(G72, $A$5:$C$52, 3, FALSE), "")</x:f>
      </x:c>
      <x:c r="O72" s="18" t="s">
        <x:v>203</x:v>
      </x:c>
      <x:c r="P72" s="17" t="s">
        <x:v>203</x:v>
      </x:c>
      <x:c r="Q72" s="17">
        <x:v>70</x:v>
      </x:c>
      <x:c r="R72" s="18" t="s">
        <x:v>540</x:v>
      </x:c>
      <x:c r="S72" s="17" t="s">
        <x:v>128</x:v>
      </x:c>
      <x:c r="T72" s="17" t="s">
        <x:v>419</x:v>
      </x:c>
      <x:c r="U72" s="17">
        <x:v>21</x:v>
      </x:c>
      <x:c r="V72" s="18">
        <x:f>IFERROR(VLOOKUP(U72, $A$5:$B$52, 2, FALSE), "")</x:f>
      </x:c>
      <x:c r="W72" s="17" t="s">
        <x:v>61</x:v>
      </x:c>
      <x:c r="X72" s="17" t="s">
        <x:v>422</x:v>
      </x:c>
      <x:c r="Y72" s="17" t="s">
        <x:v>123</x:v>
      </x:c>
      <x:c r="Z72" s="18" t="s">
        <x:v>203</x:v>
      </x:c>
    </x:row>
    <x:row r="73" spans="1:39">
      <x:c r="F73" s="18">
        <x:f>IFERROR(VLOOKUP(G73, $A$5:$B$52, 2, FALSE), "")</x:f>
      </x:c>
      <x:c r="G73" s="17">
        <x:v>17</x:v>
      </x:c>
      <x:c r="H73" s="17" t="s">
        <x:v>61</x:v>
      </x:c>
      <x:c r="I73" s="17">
        <x:v>69</x:v>
      </x:c>
      <x:c r="J73" s="18" t="s">
        <x:v>268</x:v>
      </x:c>
      <x:c r="K73" s="18" t="s">
        <x:v>269</x:v>
      </x:c>
      <x:c r="L73" s="17" t="s">
        <x:v>122</x:v>
      </x:c>
      <x:c r="M73" s="17">
        <x:v>18</x:v>
      </x:c>
      <x:c r="N73" s="18">
        <x:f>IFERROR(VLOOKUP(G73, $A$5:$C$52, 3, FALSE), "")</x:f>
      </x:c>
      <x:c r="O73" s="18" t="s">
        <x:v>203</x:v>
      </x:c>
      <x:c r="P73" s="17" t="s">
        <x:v>203</x:v>
      </x:c>
      <x:c r="Q73" s="17">
        <x:v>71</x:v>
      </x:c>
      <x:c r="R73" s="18" t="s">
        <x:v>541</x:v>
      </x:c>
      <x:c r="S73" s="17" t="s">
        <x:v>542</x:v>
      </x:c>
      <x:c r="T73" s="17" t="s">
        <x:v>419</x:v>
      </x:c>
      <x:c r="U73" s="17">
        <x:v>21</x:v>
      </x:c>
      <x:c r="V73" s="18">
        <x:f>IFERROR(VLOOKUP(U73, $A$5:$B$52, 2, FALSE), "")</x:f>
      </x:c>
      <x:c r="W73" s="17" t="s">
        <x:v>61</x:v>
      </x:c>
      <x:c r="X73" s="17" t="s">
        <x:v>425</x:v>
      </x:c>
      <x:c r="Y73" s="17" t="s">
        <x:v>123</x:v>
      </x:c>
      <x:c r="Z73" s="18" t="s">
        <x:v>203</x:v>
      </x:c>
    </x:row>
    <x:row r="74" spans="1:39">
      <x:c r="F74" s="18">
        <x:f>IFERROR(VLOOKUP(G74, $A$5:$B$52, 2, FALSE), "")</x:f>
      </x:c>
      <x:c r="G74" s="17">
        <x:v>18</x:v>
      </x:c>
      <x:c r="H74" s="17" t="s">
        <x:v>61</x:v>
      </x:c>
      <x:c r="I74" s="17">
        <x:v>70</x:v>
      </x:c>
      <x:c r="J74" s="18" t="s">
        <x:v>270</x:v>
      </x:c>
      <x:c r="K74" s="18" t="s">
        <x:v>259</x:v>
      </x:c>
      <x:c r="L74" s="17" t="s">
        <x:v>117</x:v>
      </x:c>
      <x:c r="M74" s="17">
        <x:v>19</x:v>
      </x:c>
      <x:c r="N74" s="18">
        <x:f>IFERROR(VLOOKUP(G74, $A$5:$C$52, 3, FALSE), "")</x:f>
      </x:c>
      <x:c r="O74" s="18" t="s">
        <x:v>203</x:v>
      </x:c>
      <x:c r="P74" s="17" t="s">
        <x:v>203</x:v>
      </x:c>
      <x:c r="Q74" s="17">
        <x:v>50</x:v>
      </x:c>
      <x:c r="R74" s="18" t="s">
        <x:v>543</x:v>
      </x:c>
      <x:c r="S74" s="17" t="s">
        <x:v>544</x:v>
      </x:c>
      <x:c r="T74" s="17" t="s">
        <x:v>419</x:v>
      </x:c>
      <x:c r="U74" s="17">
        <x:v>21</x:v>
      </x:c>
      <x:c r="V74" s="18">
        <x:f>IFERROR(VLOOKUP(U74, $A$5:$B$52, 2, FALSE), "")</x:f>
      </x:c>
      <x:c r="W74" s="17" t="s">
        <x:v>61</x:v>
      </x:c>
      <x:c r="X74" s="17" t="s">
        <x:v>428</x:v>
      </x:c>
      <x:c r="Y74" s="17" t="s">
        <x:v>123</x:v>
      </x:c>
      <x:c r="Z74" s="18" t="s">
        <x:v>203</x:v>
      </x:c>
    </x:row>
    <x:row r="75" spans="1:39">
      <x:c r="F75" s="18">
        <x:f>IFERROR(VLOOKUP(G75, $A$5:$B$52, 2, FALSE), "")</x:f>
      </x:c>
      <x:c r="G75" s="17">
        <x:v>18</x:v>
      </x:c>
      <x:c r="H75" s="17" t="s">
        <x:v>61</x:v>
      </x:c>
      <x:c r="I75" s="17">
        <x:v>71</x:v>
      </x:c>
      <x:c r="J75" s="18" t="s">
        <x:v>271</x:v>
      </x:c>
      <x:c r="K75" s="18" t="s">
        <x:v>272</x:v>
      </x:c>
      <x:c r="L75" s="17" t="s">
        <x:v>117</x:v>
      </x:c>
      <x:c r="M75" s="17">
        <x:v>20</x:v>
      </x:c>
      <x:c r="N75" s="18">
        <x:f>IFERROR(VLOOKUP(G75, $A$5:$C$52, 3, FALSE), "")</x:f>
      </x:c>
      <x:c r="O75" s="18" t="s">
        <x:v>203</x:v>
      </x:c>
      <x:c r="P75" s="17" t="s">
        <x:v>203</x:v>
      </x:c>
      <x:c r="Q75" s="17">
        <x:v>72</x:v>
      </x:c>
      <x:c r="R75" s="18" t="s">
        <x:v>545</x:v>
      </x:c>
      <x:c r="S75" s="17" t="s">
        <x:v>546</x:v>
      </x:c>
      <x:c r="T75" s="17" t="s">
        <x:v>419</x:v>
      </x:c>
      <x:c r="U75" s="17">
        <x:v>22</x:v>
      </x:c>
      <x:c r="V75" s="18">
        <x:f>IFERROR(VLOOKUP(U75, $A$5:$B$52, 2, FALSE), "")</x:f>
      </x:c>
      <x:c r="W75" s="17" t="s">
        <x:v>61</x:v>
      </x:c>
      <x:c r="X75" s="17" t="s">
        <x:v>420</x:v>
      </x:c>
      <x:c r="Y75" s="17" t="s">
        <x:v>123</x:v>
      </x:c>
      <x:c r="Z75" s="18" t="s">
        <x:v>203</x:v>
      </x:c>
    </x:row>
    <x:row r="76" spans="1:39">
      <x:c r="F76" s="18">
        <x:f>IFERROR(VLOOKUP(G76, $A$5:$B$52, 2, FALSE), "")</x:f>
      </x:c>
      <x:c r="G76" s="17">
        <x:v>18</x:v>
      </x:c>
      <x:c r="H76" s="17" t="s">
        <x:v>61</x:v>
      </x:c>
      <x:c r="I76" s="17">
        <x:v>72</x:v>
      </x:c>
      <x:c r="J76" s="18" t="s">
        <x:v>273</x:v>
      </x:c>
      <x:c r="K76" s="18" t="s">
        <x:v>259</x:v>
      </x:c>
      <x:c r="L76" s="17" t="s">
        <x:v>118</x:v>
      </x:c>
      <x:c r="M76" s="17">
        <x:v>21</x:v>
      </x:c>
      <x:c r="N76" s="18">
        <x:f>IFERROR(VLOOKUP(G76, $A$5:$C$52, 3, FALSE), "")</x:f>
      </x:c>
      <x:c r="O76" s="18" t="s">
        <x:v>203</x:v>
      </x:c>
      <x:c r="P76" s="17" t="s">
        <x:v>203</x:v>
      </x:c>
      <x:c r="Q76" s="17">
        <x:v>73</x:v>
      </x:c>
      <x:c r="R76" s="18" t="s">
        <x:v>547</x:v>
      </x:c>
      <x:c r="S76" s="17" t="s">
        <x:v>548</x:v>
      </x:c>
      <x:c r="T76" s="17" t="s">
        <x:v>419</x:v>
      </x:c>
      <x:c r="U76" s="17">
        <x:v>22</x:v>
      </x:c>
      <x:c r="V76" s="18">
        <x:f>IFERROR(VLOOKUP(U76, $A$5:$B$52, 2, FALSE), "")</x:f>
      </x:c>
      <x:c r="W76" s="17" t="s">
        <x:v>61</x:v>
      </x:c>
      <x:c r="X76" s="17" t="s">
        <x:v>422</x:v>
      </x:c>
      <x:c r="Y76" s="17" t="s">
        <x:v>123</x:v>
      </x:c>
      <x:c r="Z76" s="18" t="s">
        <x:v>203</x:v>
      </x:c>
    </x:row>
    <x:row r="77" spans="1:39">
      <x:c r="F77" s="18">
        <x:f>IFERROR(VLOOKUP(G77, $A$5:$B$52, 2, FALSE), "")</x:f>
      </x:c>
      <x:c r="G77" s="17">
        <x:v>18</x:v>
      </x:c>
      <x:c r="H77" s="17" t="s">
        <x:v>61</x:v>
      </x:c>
      <x:c r="I77" s="17">
        <x:v>73</x:v>
      </x:c>
      <x:c r="J77" s="18" t="s">
        <x:v>274</x:v>
      </x:c>
      <x:c r="K77" s="18" t="s">
        <x:v>259</x:v>
      </x:c>
      <x:c r="L77" s="17" t="s">
        <x:v>119</x:v>
      </x:c>
      <x:c r="M77" s="17">
        <x:v>22</x:v>
      </x:c>
      <x:c r="N77" s="18">
        <x:f>IFERROR(VLOOKUP(G77, $A$5:$C$52, 3, FALSE), "")</x:f>
      </x:c>
      <x:c r="O77" s="18" t="s">
        <x:v>203</x:v>
      </x:c>
      <x:c r="P77" s="17" t="s">
        <x:v>203</x:v>
      </x:c>
      <x:c r="Q77" s="17">
        <x:v>74</x:v>
      </x:c>
      <x:c r="R77" s="18" t="s">
        <x:v>549</x:v>
      </x:c>
      <x:c r="S77" s="17" t="s">
        <x:v>550</x:v>
      </x:c>
      <x:c r="T77" s="17" t="s">
        <x:v>419</x:v>
      </x:c>
      <x:c r="U77" s="17">
        <x:v>22</x:v>
      </x:c>
      <x:c r="V77" s="18">
        <x:f>IFERROR(VLOOKUP(U77, $A$5:$B$52, 2, FALSE), "")</x:f>
      </x:c>
      <x:c r="W77" s="17" t="s">
        <x:v>61</x:v>
      </x:c>
      <x:c r="X77" s="17" t="s">
        <x:v>425</x:v>
      </x:c>
      <x:c r="Y77" s="17" t="s">
        <x:v>123</x:v>
      </x:c>
      <x:c r="Z77" s="18" t="s">
        <x:v>203</x:v>
      </x:c>
    </x:row>
    <x:row r="78" spans="1:39">
      <x:c r="F78" s="18">
        <x:f>IFERROR(VLOOKUP(G78, $A$5:$B$52, 2, FALSE), "")</x:f>
      </x:c>
      <x:c r="G78" s="17">
        <x:v>19</x:v>
      </x:c>
      <x:c r="H78" s="17" t="s">
        <x:v>61</x:v>
      </x:c>
      <x:c r="I78" s="17">
        <x:v>74</x:v>
      </x:c>
      <x:c r="J78" s="18" t="s">
        <x:v>275</x:v>
      </x:c>
      <x:c r="K78" s="18" t="s">
        <x:v>259</x:v>
      </x:c>
      <x:c r="L78" s="17" t="s">
        <x:v>120</x:v>
      </x:c>
      <x:c r="M78" s="17">
        <x:v>23</x:v>
      </x:c>
      <x:c r="N78" s="18">
        <x:f>IFERROR(VLOOKUP(G78, $A$5:$C$52, 3, FALSE), "")</x:f>
      </x:c>
      <x:c r="O78" s="18" t="s">
        <x:v>203</x:v>
      </x:c>
      <x:c r="P78" s="17" t="s">
        <x:v>203</x:v>
      </x:c>
      <x:c r="Q78" s="17">
        <x:v>75</x:v>
      </x:c>
      <x:c r="R78" s="18" t="s">
        <x:v>551</x:v>
      </x:c>
      <x:c r="S78" s="17" t="s">
        <x:v>552</x:v>
      </x:c>
      <x:c r="T78" s="17" t="s">
        <x:v>419</x:v>
      </x:c>
      <x:c r="U78" s="17">
        <x:v>23</x:v>
      </x:c>
      <x:c r="V78" s="18">
        <x:f>IFERROR(VLOOKUP(U78, $A$5:$B$52, 2, FALSE), "")</x:f>
      </x:c>
      <x:c r="W78" s="17" t="s">
        <x:v>61</x:v>
      </x:c>
      <x:c r="X78" s="17" t="s">
        <x:v>420</x:v>
      </x:c>
      <x:c r="Y78" s="17" t="s">
        <x:v>123</x:v>
      </x:c>
      <x:c r="Z78" s="18" t="s">
        <x:v>203</x:v>
      </x:c>
    </x:row>
    <x:row r="79" spans="1:39">
      <x:c r="F79" s="18">
        <x:f>IFERROR(VLOOKUP(G79, $A$5:$B$52, 2, FALSE), "")</x:f>
      </x:c>
      <x:c r="G79" s="17">
        <x:v>19</x:v>
      </x:c>
      <x:c r="H79" s="17" t="s">
        <x:v>61</x:v>
      </x:c>
      <x:c r="I79" s="17">
        <x:v>75</x:v>
      </x:c>
      <x:c r="J79" s="18" t="s">
        <x:v>276</x:v>
      </x:c>
      <x:c r="K79" s="18" t="s">
        <x:v>263</x:v>
      </x:c>
      <x:c r="L79" s="17" t="s">
        <x:v>120</x:v>
      </x:c>
      <x:c r="M79" s="17">
        <x:v>24</x:v>
      </x:c>
      <x:c r="N79" s="18">
        <x:f>IFERROR(VLOOKUP(G79, $A$5:$C$52, 3, FALSE), "")</x:f>
      </x:c>
      <x:c r="O79" s="18" t="s">
        <x:v>203</x:v>
      </x:c>
      <x:c r="P79" s="17" t="s">
        <x:v>203</x:v>
      </x:c>
      <x:c r="Q79" s="17">
        <x:v>76</x:v>
      </x:c>
      <x:c r="R79" s="18" t="s">
        <x:v>553</x:v>
      </x:c>
      <x:c r="S79" s="17" t="s">
        <x:v>554</x:v>
      </x:c>
      <x:c r="T79" s="17" t="s">
        <x:v>419</x:v>
      </x:c>
      <x:c r="U79" s="17">
        <x:v>23</x:v>
      </x:c>
      <x:c r="V79" s="18">
        <x:f>IFERROR(VLOOKUP(U79, $A$5:$B$52, 2, FALSE), "")</x:f>
      </x:c>
      <x:c r="W79" s="17" t="s">
        <x:v>61</x:v>
      </x:c>
      <x:c r="X79" s="17" t="s">
        <x:v>422</x:v>
      </x:c>
      <x:c r="Y79" s="17" t="s">
        <x:v>123</x:v>
      </x:c>
      <x:c r="Z79" s="18" t="s">
        <x:v>203</x:v>
      </x:c>
    </x:row>
    <x:row r="80" spans="1:39">
      <x:c r="F80" s="18">
        <x:f>IFERROR(VLOOKUP(G80, $A$5:$B$52, 2, FALSE), "")</x:f>
      </x:c>
      <x:c r="G80" s="17">
        <x:v>19</x:v>
      </x:c>
      <x:c r="H80" s="17" t="s">
        <x:v>61</x:v>
      </x:c>
      <x:c r="I80" s="17">
        <x:v>76</x:v>
      </x:c>
      <x:c r="J80" s="18" t="s">
        <x:v>277</x:v>
      </x:c>
      <x:c r="K80" s="18" t="s">
        <x:v>259</x:v>
      </x:c>
      <x:c r="L80" s="17" t="s">
        <x:v>121</x:v>
      </x:c>
      <x:c r="M80" s="17">
        <x:v>25</x:v>
      </x:c>
      <x:c r="N80" s="18">
        <x:f>IFERROR(VLOOKUP(G80, $A$5:$C$52, 3, FALSE), "")</x:f>
      </x:c>
      <x:c r="O80" s="18" t="s">
        <x:v>203</x:v>
      </x:c>
      <x:c r="P80" s="17" t="s">
        <x:v>203</x:v>
      </x:c>
      <x:c r="Q80" s="17">
        <x:v>77</x:v>
      </x:c>
      <x:c r="R80" s="18" t="s">
        <x:v>555</x:v>
      </x:c>
      <x:c r="S80" s="17" t="s">
        <x:v>556</x:v>
      </x:c>
      <x:c r="T80" s="17" t="s">
        <x:v>419</x:v>
      </x:c>
      <x:c r="U80" s="17">
        <x:v>23</x:v>
      </x:c>
      <x:c r="V80" s="18">
        <x:f>IFERROR(VLOOKUP(U80, $A$5:$B$52, 2, FALSE), "")</x:f>
      </x:c>
      <x:c r="W80" s="17" t="s">
        <x:v>61</x:v>
      </x:c>
      <x:c r="X80" s="17" t="s">
        <x:v>425</x:v>
      </x:c>
      <x:c r="Y80" s="17" t="s">
        <x:v>123</x:v>
      </x:c>
      <x:c r="Z80" s="18" t="s">
        <x:v>203</x:v>
      </x:c>
    </x:row>
    <x:row r="81" spans="1:39">
      <x:c r="F81" s="18">
        <x:f>IFERROR(VLOOKUP(G81, $A$5:$B$52, 2, FALSE), "")</x:f>
      </x:c>
      <x:c r="G81" s="17">
        <x:v>19</x:v>
      </x:c>
      <x:c r="H81" s="17" t="s">
        <x:v>61</x:v>
      </x:c>
      <x:c r="I81" s="17">
        <x:v>77</x:v>
      </x:c>
      <x:c r="J81" s="18" t="s">
        <x:v>278</x:v>
      </x:c>
      <x:c r="K81" s="18" t="s">
        <x:v>261</x:v>
      </x:c>
      <x:c r="L81" s="17" t="s">
        <x:v>121</x:v>
      </x:c>
      <x:c r="M81" s="17">
        <x:v>26</x:v>
      </x:c>
      <x:c r="N81" s="18">
        <x:f>IFERROR(VLOOKUP(G81, $A$5:$C$52, 3, FALSE), "")</x:f>
      </x:c>
      <x:c r="O81" s="18" t="s">
        <x:v>203</x:v>
      </x:c>
      <x:c r="P81" s="17" t="s">
        <x:v>203</x:v>
      </x:c>
      <x:c r="Q81" s="17">
        <x:v>78</x:v>
      </x:c>
      <x:c r="R81" s="18" t="s">
        <x:v>557</x:v>
      </x:c>
      <x:c r="S81" s="17" t="s">
        <x:v>558</x:v>
      </x:c>
      <x:c r="T81" s="17" t="s">
        <x:v>419</x:v>
      </x:c>
      <x:c r="U81" s="17">
        <x:v>24</x:v>
      </x:c>
      <x:c r="V81" s="18">
        <x:f>IFERROR(VLOOKUP(U81, $A$5:$B$52, 2, FALSE), "")</x:f>
      </x:c>
      <x:c r="W81" s="17" t="s">
        <x:v>61</x:v>
      </x:c>
      <x:c r="X81" s="17" t="s">
        <x:v>420</x:v>
      </x:c>
      <x:c r="Y81" s="17" t="s">
        <x:v>123</x:v>
      </x:c>
      <x:c r="Z81" s="18" t="s">
        <x:v>203</x:v>
      </x:c>
    </x:row>
    <x:row r="82" spans="1:39">
      <x:c r="F82" s="18">
        <x:f>IFERROR(VLOOKUP(G82, $A$5:$B$52, 2, FALSE), "")</x:f>
      </x:c>
      <x:c r="G82" s="17">
        <x:v>19</x:v>
      </x:c>
      <x:c r="H82" s="17" t="s">
        <x:v>61</x:v>
      </x:c>
      <x:c r="I82" s="17">
        <x:v>78</x:v>
      </x:c>
      <x:c r="J82" s="18" t="s">
        <x:v>279</x:v>
      </x:c>
      <x:c r="K82" s="18" t="s">
        <x:v>259</x:v>
      </x:c>
      <x:c r="L82" s="17" t="s">
        <x:v>122</x:v>
      </x:c>
      <x:c r="M82" s="17">
        <x:v>27</x:v>
      </x:c>
      <x:c r="N82" s="18">
        <x:f>IFERROR(VLOOKUP(G82, $A$5:$C$52, 3, FALSE), "")</x:f>
      </x:c>
      <x:c r="O82" s="18" t="s">
        <x:v>203</x:v>
      </x:c>
      <x:c r="P82" s="17" t="s">
        <x:v>203</x:v>
      </x:c>
      <x:c r="Q82" s="17">
        <x:v>79</x:v>
      </x:c>
      <x:c r="R82" s="18" t="s">
        <x:v>559</x:v>
      </x:c>
      <x:c r="S82" s="17" t="s">
        <x:v>560</x:v>
      </x:c>
      <x:c r="T82" s="17" t="s">
        <x:v>419</x:v>
      </x:c>
      <x:c r="U82" s="17">
        <x:v>24</x:v>
      </x:c>
      <x:c r="V82" s="18">
        <x:f>IFERROR(VLOOKUP(U82, $A$5:$B$52, 2, FALSE), "")</x:f>
      </x:c>
      <x:c r="W82" s="17" t="s">
        <x:v>61</x:v>
      </x:c>
      <x:c r="X82" s="17" t="s">
        <x:v>422</x:v>
      </x:c>
      <x:c r="Y82" s="17" t="s">
        <x:v>123</x:v>
      </x:c>
      <x:c r="Z82" s="18" t="s">
        <x:v>203</x:v>
      </x:c>
    </x:row>
    <x:row r="83" spans="1:39">
      <x:c r="F83" s="18">
        <x:f>IFERROR(VLOOKUP(G83, $A$5:$B$52, 2, FALSE), "")</x:f>
      </x:c>
      <x:c r="G83" s="17">
        <x:v>20</x:v>
      </x:c>
      <x:c r="H83" s="17" t="s">
        <x:v>61</x:v>
      </x:c>
      <x:c r="I83" s="17">
        <x:v>79</x:v>
      </x:c>
      <x:c r="J83" s="18" t="s">
        <x:v>280</x:v>
      </x:c>
      <x:c r="K83" s="18" t="s">
        <x:v>259</x:v>
      </x:c>
      <x:c r="L83" s="17" t="s">
        <x:v>117</x:v>
      </x:c>
      <x:c r="M83" s="17">
        <x:v>28</x:v>
      </x:c>
      <x:c r="N83" s="18">
        <x:f>IFERROR(VLOOKUP(G83, $A$5:$C$52, 3, FALSE), "")</x:f>
      </x:c>
      <x:c r="O83" s="18" t="s">
        <x:v>203</x:v>
      </x:c>
      <x:c r="P83" s="17" t="s">
        <x:v>203</x:v>
      </x:c>
      <x:c r="Q83" s="17">
        <x:v>80</x:v>
      </x:c>
      <x:c r="R83" s="18" t="s">
        <x:v>561</x:v>
      </x:c>
      <x:c r="S83" s="17" t="s">
        <x:v>562</x:v>
      </x:c>
      <x:c r="T83" s="17" t="s">
        <x:v>419</x:v>
      </x:c>
      <x:c r="U83" s="17">
        <x:v>24</x:v>
      </x:c>
      <x:c r="V83" s="18">
        <x:f>IFERROR(VLOOKUP(U83, $A$5:$B$52, 2, FALSE), "")</x:f>
      </x:c>
      <x:c r="W83" s="17" t="s">
        <x:v>61</x:v>
      </x:c>
      <x:c r="X83" s="17" t="s">
        <x:v>425</x:v>
      </x:c>
      <x:c r="Y83" s="17" t="s">
        <x:v>123</x:v>
      </x:c>
      <x:c r="Z83" s="18" t="s">
        <x:v>203</x:v>
      </x:c>
    </x:row>
    <x:row r="84" spans="1:39">
      <x:c r="F84" s="18">
        <x:f>IFERROR(VLOOKUP(G84, $A$5:$B$52, 2, FALSE), "")</x:f>
      </x:c>
      <x:c r="G84" s="17">
        <x:v>20</x:v>
      </x:c>
      <x:c r="H84" s="17" t="s">
        <x:v>61</x:v>
      </x:c>
      <x:c r="I84" s="17">
        <x:v>80</x:v>
      </x:c>
      <x:c r="J84" s="18" t="s">
        <x:v>281</x:v>
      </x:c>
      <x:c r="K84" s="18" t="s">
        <x:v>282</x:v>
      </x:c>
      <x:c r="L84" s="17" t="s">
        <x:v>117</x:v>
      </x:c>
      <x:c r="M84" s="17">
        <x:v>29</x:v>
      </x:c>
      <x:c r="N84" s="18">
        <x:f>IFERROR(VLOOKUP(G84, $A$5:$C$52, 3, FALSE), "")</x:f>
      </x:c>
      <x:c r="O84" s="18" t="s">
        <x:v>203</x:v>
      </x:c>
      <x:c r="P84" s="17" t="s">
        <x:v>203</x:v>
      </x:c>
      <x:c r="Q84" s="17">
        <x:v>81</x:v>
      </x:c>
      <x:c r="R84" s="18" t="s">
        <x:v>563</x:v>
      </x:c>
      <x:c r="S84" s="17" t="s">
        <x:v>564</x:v>
      </x:c>
      <x:c r="T84" s="17" t="s">
        <x:v>419</x:v>
      </x:c>
      <x:c r="U84" s="17">
        <x:v>25</x:v>
      </x:c>
      <x:c r="V84" s="18">
        <x:f>IFERROR(VLOOKUP(U84, $A$5:$B$52, 2, FALSE), "")</x:f>
      </x:c>
      <x:c r="W84" s="17" t="s">
        <x:v>62</x:v>
      </x:c>
      <x:c r="X84" s="17" t="s">
        <x:v>420</x:v>
      </x:c>
      <x:c r="Y84" s="17" t="s">
        <x:v>123</x:v>
      </x:c>
      <x:c r="Z84" s="18" t="s">
        <x:v>203</x:v>
      </x:c>
    </x:row>
    <x:row r="85" spans="1:39">
      <x:c r="F85" s="18">
        <x:f>IFERROR(VLOOKUP(G85, $A$5:$B$52, 2, FALSE), "")</x:f>
      </x:c>
      <x:c r="G85" s="17">
        <x:v>20</x:v>
      </x:c>
      <x:c r="H85" s="17" t="s">
        <x:v>61</x:v>
      </x:c>
      <x:c r="I85" s="17">
        <x:v>81</x:v>
      </x:c>
      <x:c r="J85" s="18" t="s">
        <x:v>283</x:v>
      </x:c>
      <x:c r="K85" s="18" t="s">
        <x:v>259</x:v>
      </x:c>
      <x:c r="L85" s="17" t="s">
        <x:v>118</x:v>
      </x:c>
      <x:c r="M85" s="17">
        <x:v>30</x:v>
      </x:c>
      <x:c r="N85" s="18">
        <x:f>IFERROR(VLOOKUP(G85, $A$5:$C$52, 3, FALSE), "")</x:f>
      </x:c>
      <x:c r="O85" s="18" t="s">
        <x:v>203</x:v>
      </x:c>
      <x:c r="P85" s="17" t="s">
        <x:v>203</x:v>
      </x:c>
      <x:c r="Q85" s="17">
        <x:v>82</x:v>
      </x:c>
      <x:c r="R85" s="18" t="s">
        <x:v>565</x:v>
      </x:c>
      <x:c r="S85" s="17" t="s">
        <x:v>566</x:v>
      </x:c>
      <x:c r="T85" s="17" t="s">
        <x:v>419</x:v>
      </x:c>
      <x:c r="U85" s="17">
        <x:v>25</x:v>
      </x:c>
      <x:c r="V85" s="18">
        <x:f>IFERROR(VLOOKUP(U85, $A$5:$B$52, 2, FALSE), "")</x:f>
      </x:c>
      <x:c r="W85" s="17" t="s">
        <x:v>62</x:v>
      </x:c>
      <x:c r="X85" s="17" t="s">
        <x:v>422</x:v>
      </x:c>
      <x:c r="Y85" s="17" t="s">
        <x:v>123</x:v>
      </x:c>
      <x:c r="Z85" s="18" t="s">
        <x:v>203</x:v>
      </x:c>
    </x:row>
    <x:row r="86" spans="1:39">
      <x:c r="F86" s="18">
        <x:f>IFERROR(VLOOKUP(G86, $A$5:$B$52, 2, FALSE), "")</x:f>
      </x:c>
      <x:c r="G86" s="17">
        <x:v>20</x:v>
      </x:c>
      <x:c r="H86" s="17" t="s">
        <x:v>61</x:v>
      </x:c>
      <x:c r="I86" s="17">
        <x:v>82</x:v>
      </x:c>
      <x:c r="J86" s="18" t="s">
        <x:v>284</x:v>
      </x:c>
      <x:c r="K86" s="18" t="s">
        <x:v>285</x:v>
      </x:c>
      <x:c r="L86" s="17" t="s">
        <x:v>118</x:v>
      </x:c>
      <x:c r="M86" s="17">
        <x:v>31</x:v>
      </x:c>
      <x:c r="N86" s="18">
        <x:f>IFERROR(VLOOKUP(G86, $A$5:$C$52, 3, FALSE), "")</x:f>
      </x:c>
      <x:c r="O86" s="18" t="s">
        <x:v>203</x:v>
      </x:c>
      <x:c r="P86" s="17" t="s">
        <x:v>203</x:v>
      </x:c>
      <x:c r="Q86" s="17">
        <x:v>83</x:v>
      </x:c>
      <x:c r="R86" s="18" t="s">
        <x:v>567</x:v>
      </x:c>
      <x:c r="S86" s="17" t="s">
        <x:v>568</x:v>
      </x:c>
      <x:c r="T86" s="17" t="s">
        <x:v>419</x:v>
      </x:c>
      <x:c r="U86" s="17">
        <x:v>25</x:v>
      </x:c>
      <x:c r="V86" s="18">
        <x:f>IFERROR(VLOOKUP(U86, $A$5:$B$52, 2, FALSE), "")</x:f>
      </x:c>
      <x:c r="W86" s="17" t="s">
        <x:v>62</x:v>
      </x:c>
      <x:c r="X86" s="17" t="s">
        <x:v>425</x:v>
      </x:c>
      <x:c r="Y86" s="17" t="s">
        <x:v>123</x:v>
      </x:c>
      <x:c r="Z86" s="18" t="s">
        <x:v>203</x:v>
      </x:c>
    </x:row>
    <x:row r="87" spans="1:39">
      <x:c r="F87" s="18">
        <x:f>IFERROR(VLOOKUP(G87, $A$5:$B$52, 2, FALSE), "")</x:f>
      </x:c>
      <x:c r="G87" s="17">
        <x:v>20</x:v>
      </x:c>
      <x:c r="H87" s="17" t="s">
        <x:v>61</x:v>
      </x:c>
      <x:c r="I87" s="17">
        <x:v>83</x:v>
      </x:c>
      <x:c r="J87" s="18" t="s">
        <x:v>286</x:v>
      </x:c>
      <x:c r="K87" s="18" t="s">
        <x:v>259</x:v>
      </x:c>
      <x:c r="L87" s="17" t="s">
        <x:v>119</x:v>
      </x:c>
      <x:c r="M87" s="17">
        <x:v>32</x:v>
      </x:c>
      <x:c r="N87" s="18">
        <x:f>IFERROR(VLOOKUP(G87, $A$5:$C$52, 3, FALSE), "")</x:f>
      </x:c>
      <x:c r="O87" s="18" t="s">
        <x:v>203</x:v>
      </x:c>
      <x:c r="P87" s="17" t="s">
        <x:v>203</x:v>
      </x:c>
      <x:c r="Q87" s="17">
        <x:v>84</x:v>
      </x:c>
      <x:c r="R87" s="18" t="s">
        <x:v>569</x:v>
      </x:c>
      <x:c r="S87" s="17" t="s">
        <x:v>570</x:v>
      </x:c>
      <x:c r="T87" s="17" t="s">
        <x:v>419</x:v>
      </x:c>
      <x:c r="U87" s="17">
        <x:v>26</x:v>
      </x:c>
      <x:c r="V87" s="18">
        <x:f>IFERROR(VLOOKUP(U87, $A$5:$B$52, 2, FALSE), "")</x:f>
      </x:c>
      <x:c r="W87" s="17" t="s">
        <x:v>62</x:v>
      </x:c>
      <x:c r="X87" s="17" t="s">
        <x:v>420</x:v>
      </x:c>
      <x:c r="Y87" s="17" t="s">
        <x:v>123</x:v>
      </x:c>
      <x:c r="Z87" s="18" t="s">
        <x:v>203</x:v>
      </x:c>
    </x:row>
    <x:row r="88" spans="1:39">
      <x:c r="F88" s="18">
        <x:f>IFERROR(VLOOKUP(G88, $A$5:$B$52, 2, FALSE), "")</x:f>
      </x:c>
      <x:c r="G88" s="17">
        <x:v>21</x:v>
      </x:c>
      <x:c r="H88" s="17" t="s">
        <x:v>61</x:v>
      </x:c>
      <x:c r="I88" s="17">
        <x:v>84</x:v>
      </x:c>
      <x:c r="J88" s="18" t="s">
        <x:v>287</x:v>
      </x:c>
      <x:c r="K88" s="18" t="s">
        <x:v>259</x:v>
      </x:c>
      <x:c r="L88" s="17" t="s">
        <x:v>120</x:v>
      </x:c>
      <x:c r="M88" s="17">
        <x:v>33</x:v>
      </x:c>
      <x:c r="N88" s="18">
        <x:f>IFERROR(VLOOKUP(G88, $A$5:$C$52, 3, FALSE), "")</x:f>
      </x:c>
      <x:c r="O88" s="18" t="s">
        <x:v>203</x:v>
      </x:c>
      <x:c r="P88" s="17" t="s">
        <x:v>203</x:v>
      </x:c>
      <x:c r="Q88" s="17">
        <x:v>85</x:v>
      </x:c>
      <x:c r="R88" s="18" t="s">
        <x:v>571</x:v>
      </x:c>
      <x:c r="S88" s="17" t="s">
        <x:v>572</x:v>
      </x:c>
      <x:c r="T88" s="17" t="s">
        <x:v>419</x:v>
      </x:c>
      <x:c r="U88" s="17">
        <x:v>26</x:v>
      </x:c>
      <x:c r="V88" s="18">
        <x:f>IFERROR(VLOOKUP(U88, $A$5:$B$52, 2, FALSE), "")</x:f>
      </x:c>
      <x:c r="W88" s="17" t="s">
        <x:v>62</x:v>
      </x:c>
      <x:c r="X88" s="17" t="s">
        <x:v>422</x:v>
      </x:c>
      <x:c r="Y88" s="17" t="s">
        <x:v>123</x:v>
      </x:c>
      <x:c r="Z88" s="18" t="s">
        <x:v>203</x:v>
      </x:c>
    </x:row>
    <x:row r="89" spans="1:39">
      <x:c r="F89" s="18">
        <x:f>IFERROR(VLOOKUP(G89, $A$5:$B$52, 2, FALSE), "")</x:f>
      </x:c>
      <x:c r="G89" s="17">
        <x:v>21</x:v>
      </x:c>
      <x:c r="H89" s="17" t="s">
        <x:v>61</x:v>
      </x:c>
      <x:c r="I89" s="17">
        <x:v>85</x:v>
      </x:c>
      <x:c r="J89" s="18" t="s">
        <x:v>288</x:v>
      </x:c>
      <x:c r="K89" s="18" t="s">
        <x:v>261</x:v>
      </x:c>
      <x:c r="L89" s="17" t="s">
        <x:v>120</x:v>
      </x:c>
      <x:c r="M89" s="17">
        <x:v>34</x:v>
      </x:c>
      <x:c r="N89" s="18">
        <x:f>IFERROR(VLOOKUP(G89, $A$5:$C$52, 3, FALSE), "")</x:f>
      </x:c>
      <x:c r="O89" s="18" t="s">
        <x:v>203</x:v>
      </x:c>
      <x:c r="P89" s="17" t="s">
        <x:v>203</x:v>
      </x:c>
      <x:c r="Q89" s="17">
        <x:v>86</x:v>
      </x:c>
      <x:c r="R89" s="18" t="s">
        <x:v>573</x:v>
      </x:c>
      <x:c r="S89" s="17" t="s">
        <x:v>574</x:v>
      </x:c>
      <x:c r="T89" s="17" t="s">
        <x:v>419</x:v>
      </x:c>
      <x:c r="U89" s="17">
        <x:v>26</x:v>
      </x:c>
      <x:c r="V89" s="18">
        <x:f>IFERROR(VLOOKUP(U89, $A$5:$B$52, 2, FALSE), "")</x:f>
      </x:c>
      <x:c r="W89" s="17" t="s">
        <x:v>62</x:v>
      </x:c>
      <x:c r="X89" s="17" t="s">
        <x:v>425</x:v>
      </x:c>
      <x:c r="Y89" s="17" t="s">
        <x:v>123</x:v>
      </x:c>
      <x:c r="Z89" s="18" t="s">
        <x:v>203</x:v>
      </x:c>
    </x:row>
    <x:row r="90" spans="1:39">
      <x:c r="F90" s="18">
        <x:f>IFERROR(VLOOKUP(G90, $A$5:$B$52, 2, FALSE), "")</x:f>
      </x:c>
      <x:c r="G90" s="17">
        <x:v>21</x:v>
      </x:c>
      <x:c r="H90" s="17" t="s">
        <x:v>61</x:v>
      </x:c>
      <x:c r="I90" s="17">
        <x:v>86</x:v>
      </x:c>
      <x:c r="J90" s="18" t="s">
        <x:v>289</x:v>
      </x:c>
      <x:c r="K90" s="18" t="s">
        <x:v>272</x:v>
      </x:c>
      <x:c r="L90" s="17" t="s">
        <x:v>120</x:v>
      </x:c>
      <x:c r="M90" s="17">
        <x:v>35</x:v>
      </x:c>
      <x:c r="N90" s="18">
        <x:f>IFERROR(VLOOKUP(G90, $A$5:$C$52, 3, FALSE), "")</x:f>
      </x:c>
      <x:c r="O90" s="18" t="s">
        <x:v>203</x:v>
      </x:c>
      <x:c r="P90" s="17" t="s">
        <x:v>203</x:v>
      </x:c>
      <x:c r="Q90" s="17">
        <x:v>87</x:v>
      </x:c>
      <x:c r="R90" s="18" t="s">
        <x:v>575</x:v>
      </x:c>
      <x:c r="S90" s="17" t="s">
        <x:v>576</x:v>
      </x:c>
      <x:c r="T90" s="17" t="s">
        <x:v>419</x:v>
      </x:c>
      <x:c r="U90" s="17">
        <x:v>26</x:v>
      </x:c>
      <x:c r="V90" s="18">
        <x:f>IFERROR(VLOOKUP(U90, $A$5:$B$52, 2, FALSE), "")</x:f>
      </x:c>
      <x:c r="W90" s="17" t="s">
        <x:v>62</x:v>
      </x:c>
      <x:c r="X90" s="17" t="s">
        <x:v>428</x:v>
      </x:c>
      <x:c r="Y90" s="17" t="s">
        <x:v>123</x:v>
      </x:c>
      <x:c r="Z90" s="18" t="s">
        <x:v>203</x:v>
      </x:c>
    </x:row>
    <x:row r="91" spans="1:39">
      <x:c r="F91" s="18">
        <x:f>IFERROR(VLOOKUP(G91, $A$5:$B$52, 2, FALSE), "")</x:f>
      </x:c>
      <x:c r="G91" s="17">
        <x:v>21</x:v>
      </x:c>
      <x:c r="H91" s="17" t="s">
        <x:v>61</x:v>
      </x:c>
      <x:c r="I91" s="17">
        <x:v>87</x:v>
      </x:c>
      <x:c r="J91" s="18" t="s">
        <x:v>290</x:v>
      </x:c>
      <x:c r="K91" s="18" t="s">
        <x:v>259</x:v>
      </x:c>
      <x:c r="L91" s="17" t="s">
        <x:v>121</x:v>
      </x:c>
      <x:c r="M91" s="17">
        <x:v>36</x:v>
      </x:c>
      <x:c r="N91" s="18">
        <x:f>IFERROR(VLOOKUP(G91, $A$5:$C$52, 3, FALSE), "")</x:f>
      </x:c>
      <x:c r="O91" s="18" t="s">
        <x:v>203</x:v>
      </x:c>
      <x:c r="P91" s="17" t="s">
        <x:v>203</x:v>
      </x:c>
      <x:c r="Q91" s="17">
        <x:v>88</x:v>
      </x:c>
      <x:c r="R91" s="18" t="s">
        <x:v>577</x:v>
      </x:c>
      <x:c r="S91" s="17" t="s">
        <x:v>578</x:v>
      </x:c>
      <x:c r="T91" s="17" t="s">
        <x:v>419</x:v>
      </x:c>
      <x:c r="U91" s="17">
        <x:v>27</x:v>
      </x:c>
      <x:c r="V91" s="18">
        <x:f>IFERROR(VLOOKUP(U91, $A$5:$B$52, 2, FALSE), "")</x:f>
      </x:c>
      <x:c r="W91" s="17" t="s">
        <x:v>63</x:v>
      </x:c>
      <x:c r="X91" s="17" t="s">
        <x:v>420</x:v>
      </x:c>
      <x:c r="Y91" s="17" t="s">
        <x:v>123</x:v>
      </x:c>
      <x:c r="Z91" s="18" t="s">
        <x:v>203</x:v>
      </x:c>
    </x:row>
    <x:row r="92" spans="1:39">
      <x:c r="F92" s="18">
        <x:f>IFERROR(VLOOKUP(G92, $A$5:$B$52, 2, FALSE), "")</x:f>
      </x:c>
      <x:c r="G92" s="17">
        <x:v>21</x:v>
      </x:c>
      <x:c r="H92" s="17" t="s">
        <x:v>61</x:v>
      </x:c>
      <x:c r="I92" s="17">
        <x:v>88</x:v>
      </x:c>
      <x:c r="J92" s="18" t="s">
        <x:v>291</x:v>
      </x:c>
      <x:c r="K92" s="18" t="s">
        <x:v>282</x:v>
      </x:c>
      <x:c r="L92" s="17" t="s">
        <x:v>121</x:v>
      </x:c>
      <x:c r="M92" s="17">
        <x:v>37</x:v>
      </x:c>
      <x:c r="N92" s="18">
        <x:f>IFERROR(VLOOKUP(G92, $A$5:$C$52, 3, FALSE), "")</x:f>
      </x:c>
      <x:c r="O92" s="18" t="s">
        <x:v>203</x:v>
      </x:c>
      <x:c r="P92" s="17" t="s">
        <x:v>203</x:v>
      </x:c>
      <x:c r="Q92" s="17">
        <x:v>89</x:v>
      </x:c>
      <x:c r="R92" s="18" t="s">
        <x:v>579</x:v>
      </x:c>
      <x:c r="S92" s="17" t="s">
        <x:v>580</x:v>
      </x:c>
      <x:c r="T92" s="17" t="s">
        <x:v>419</x:v>
      </x:c>
      <x:c r="U92" s="17">
        <x:v>28</x:v>
      </x:c>
      <x:c r="V92" s="18">
        <x:f>IFERROR(VLOOKUP(U92, $A$5:$B$52, 2, FALSE), "")</x:f>
      </x:c>
      <x:c r="W92" s="17" t="s">
        <x:v>63</x:v>
      </x:c>
      <x:c r="X92" s="17" t="s">
        <x:v>420</x:v>
      </x:c>
      <x:c r="Y92" s="17" t="s">
        <x:v>123</x:v>
      </x:c>
      <x:c r="Z92" s="18" t="s">
        <x:v>203</x:v>
      </x:c>
    </x:row>
    <x:row r="93" spans="1:39">
      <x:c r="F93" s="18">
        <x:f>IFERROR(VLOOKUP(G93, $A$5:$B$52, 2, FALSE), "")</x:f>
      </x:c>
      <x:c r="G93" s="17">
        <x:v>21</x:v>
      </x:c>
      <x:c r="H93" s="17" t="s">
        <x:v>61</x:v>
      </x:c>
      <x:c r="I93" s="17">
        <x:v>89</x:v>
      </x:c>
      <x:c r="J93" s="18" t="s">
        <x:v>292</x:v>
      </x:c>
      <x:c r="K93" s="18" t="s">
        <x:v>259</x:v>
      </x:c>
      <x:c r="L93" s="17" t="s">
        <x:v>122</x:v>
      </x:c>
      <x:c r="M93" s="17">
        <x:v>38</x:v>
      </x:c>
      <x:c r="N93" s="18">
        <x:f>IFERROR(VLOOKUP(G93, $A$5:$C$52, 3, FALSE), "")</x:f>
      </x:c>
      <x:c r="O93" s="18" t="s">
        <x:v>203</x:v>
      </x:c>
      <x:c r="P93" s="17" t="s">
        <x:v>203</x:v>
      </x:c>
      <x:c r="Q93" s="17">
        <x:v>90</x:v>
      </x:c>
      <x:c r="R93" s="18" t="s">
        <x:v>581</x:v>
      </x:c>
      <x:c r="S93" s="17" t="s">
        <x:v>582</x:v>
      </x:c>
      <x:c r="T93" s="17" t="s">
        <x:v>419</x:v>
      </x:c>
      <x:c r="U93" s="17">
        <x:v>29</x:v>
      </x:c>
      <x:c r="V93" s="18">
        <x:f>IFERROR(VLOOKUP(U93, $A$5:$B$52, 2, FALSE), "")</x:f>
      </x:c>
      <x:c r="W93" s="17" t="s">
        <x:v>63</x:v>
      </x:c>
      <x:c r="X93" s="17" t="s">
        <x:v>420</x:v>
      </x:c>
      <x:c r="Y93" s="17" t="s">
        <x:v>123</x:v>
      </x:c>
      <x:c r="Z93" s="18" t="s">
        <x:v>203</x:v>
      </x:c>
    </x:row>
    <x:row r="94" spans="1:39">
      <x:c r="F94" s="18">
        <x:f>IFERROR(VLOOKUP(G94, $A$5:$B$52, 2, FALSE), "")</x:f>
      </x:c>
      <x:c r="G94" s="17">
        <x:v>21</x:v>
      </x:c>
      <x:c r="H94" s="17" t="s">
        <x:v>61</x:v>
      </x:c>
      <x:c r="I94" s="17">
        <x:v>90</x:v>
      </x:c>
      <x:c r="J94" s="18" t="s">
        <x:v>293</x:v>
      </x:c>
      <x:c r="K94" s="18" t="s">
        <x:v>263</x:v>
      </x:c>
      <x:c r="L94" s="17" t="s">
        <x:v>122</x:v>
      </x:c>
      <x:c r="M94" s="17">
        <x:v>39</x:v>
      </x:c>
      <x:c r="N94" s="18">
        <x:f>IFERROR(VLOOKUP(G94, $A$5:$C$52, 3, FALSE), "")</x:f>
      </x:c>
      <x:c r="O94" s="18" t="s">
        <x:v>203</x:v>
      </x:c>
      <x:c r="P94" s="17" t="s">
        <x:v>203</x:v>
      </x:c>
      <x:c r="Q94" s="17">
        <x:v>91</x:v>
      </x:c>
      <x:c r="R94" s="18" t="s">
        <x:v>583</x:v>
      </x:c>
      <x:c r="S94" s="17" t="s">
        <x:v>584</x:v>
      </x:c>
      <x:c r="T94" s="17" t="s">
        <x:v>419</x:v>
      </x:c>
      <x:c r="U94" s="17">
        <x:v>30</x:v>
      </x:c>
      <x:c r="V94" s="18">
        <x:f>IFERROR(VLOOKUP(U94, $A$5:$B$52, 2, FALSE), "")</x:f>
      </x:c>
      <x:c r="W94" s="17" t="s">
        <x:v>63</x:v>
      </x:c>
      <x:c r="X94" s="17" t="s">
        <x:v>420</x:v>
      </x:c>
      <x:c r="Y94" s="17" t="s">
        <x:v>123</x:v>
      </x:c>
      <x:c r="Z94" s="18" t="s">
        <x:v>203</x:v>
      </x:c>
    </x:row>
    <x:row r="95" spans="1:39">
      <x:c r="F95" s="18">
        <x:f>IFERROR(VLOOKUP(G95, $A$5:$B$52, 2, FALSE), "")</x:f>
      </x:c>
      <x:c r="G95" s="17">
        <x:v>22</x:v>
      </x:c>
      <x:c r="H95" s="17" t="s">
        <x:v>61</x:v>
      </x:c>
      <x:c r="I95" s="17">
        <x:v>91</x:v>
      </x:c>
      <x:c r="J95" s="18" t="s">
        <x:v>294</x:v>
      </x:c>
      <x:c r="K95" s="18" t="s">
        <x:v>259</x:v>
      </x:c>
      <x:c r="L95" s="17" t="s">
        <x:v>117</x:v>
      </x:c>
      <x:c r="M95" s="17">
        <x:v>40</x:v>
      </x:c>
      <x:c r="N95" s="18">
        <x:f>IFERROR(VLOOKUP(G95, $A$5:$C$52, 3, FALSE), "")</x:f>
      </x:c>
      <x:c r="O95" s="18" t="s">
        <x:v>203</x:v>
      </x:c>
      <x:c r="P95" s="17" t="s">
        <x:v>203</x:v>
      </x:c>
      <x:c r="Q95" s="17">
        <x:v>92</x:v>
      </x:c>
      <x:c r="R95" s="18" t="s">
        <x:v>585</x:v>
      </x:c>
      <x:c r="S95" s="17" t="s">
        <x:v>586</x:v>
      </x:c>
      <x:c r="T95" s="17" t="s">
        <x:v>419</x:v>
      </x:c>
      <x:c r="U95" s="17">
        <x:v>31</x:v>
      </x:c>
      <x:c r="V95" s="18">
        <x:f>IFERROR(VLOOKUP(U95, $A$5:$B$52, 2, FALSE), "")</x:f>
      </x:c>
      <x:c r="W95" s="17" t="s">
        <x:v>63</x:v>
      </x:c>
      <x:c r="X95" s="17" t="s">
        <x:v>420</x:v>
      </x:c>
      <x:c r="Y95" s="17" t="s">
        <x:v>123</x:v>
      </x:c>
      <x:c r="Z95" s="18" t="s">
        <x:v>203</x:v>
      </x:c>
    </x:row>
    <x:row r="96" spans="1:39">
      <x:c r="F96" s="18">
        <x:f>IFERROR(VLOOKUP(G96, $A$5:$B$52, 2, FALSE), "")</x:f>
      </x:c>
      <x:c r="G96" s="17">
        <x:v>22</x:v>
      </x:c>
      <x:c r="H96" s="17" t="s">
        <x:v>61</x:v>
      </x:c>
      <x:c r="I96" s="17">
        <x:v>92</x:v>
      </x:c>
      <x:c r="J96" s="18" t="s">
        <x:v>295</x:v>
      </x:c>
      <x:c r="K96" s="18" t="s">
        <x:v>261</x:v>
      </x:c>
      <x:c r="L96" s="17" t="s">
        <x:v>117</x:v>
      </x:c>
      <x:c r="M96" s="17">
        <x:v>41</x:v>
      </x:c>
      <x:c r="N96" s="18">
        <x:f>IFERROR(VLOOKUP(G96, $A$5:$C$52, 3, FALSE), "")</x:f>
      </x:c>
      <x:c r="O96" s="18" t="s">
        <x:v>203</x:v>
      </x:c>
      <x:c r="P96" s="17" t="s">
        <x:v>203</x:v>
      </x:c>
      <x:c r="Q96" s="17">
        <x:v>93</x:v>
      </x:c>
      <x:c r="R96" s="18" t="s">
        <x:v>587</x:v>
      </x:c>
      <x:c r="S96" s="17" t="s">
        <x:v>588</x:v>
      </x:c>
      <x:c r="T96" s="17" t="s">
        <x:v>419</x:v>
      </x:c>
      <x:c r="U96" s="17">
        <x:v>32</x:v>
      </x:c>
      <x:c r="V96" s="18">
        <x:f>IFERROR(VLOOKUP(U96, $A$5:$B$52, 2, FALSE), "")</x:f>
      </x:c>
      <x:c r="W96" s="17" t="s">
        <x:v>63</x:v>
      </x:c>
      <x:c r="X96" s="17" t="s">
        <x:v>420</x:v>
      </x:c>
      <x:c r="Y96" s="17" t="s">
        <x:v>123</x:v>
      </x:c>
      <x:c r="Z96" s="18" t="s">
        <x:v>203</x:v>
      </x:c>
    </x:row>
    <x:row r="97" spans="1:39">
      <x:c r="F97" s="18">
        <x:f>IFERROR(VLOOKUP(G97, $A$5:$B$52, 2, FALSE), "")</x:f>
      </x:c>
      <x:c r="G97" s="17">
        <x:v>22</x:v>
      </x:c>
      <x:c r="H97" s="17" t="s">
        <x:v>61</x:v>
      </x:c>
      <x:c r="I97" s="17">
        <x:v>93</x:v>
      </x:c>
      <x:c r="J97" s="18" t="s">
        <x:v>296</x:v>
      </x:c>
      <x:c r="K97" s="18" t="s">
        <x:v>263</x:v>
      </x:c>
      <x:c r="L97" s="17" t="s">
        <x:v>117</x:v>
      </x:c>
      <x:c r="M97" s="17">
        <x:v>42</x:v>
      </x:c>
      <x:c r="N97" s="18">
        <x:f>IFERROR(VLOOKUP(G97, $A$5:$C$52, 3, FALSE), "")</x:f>
      </x:c>
      <x:c r="O97" s="18" t="s">
        <x:v>203</x:v>
      </x:c>
      <x:c r="P97" s="17" t="s">
        <x:v>203</x:v>
      </x:c>
      <x:c r="Q97" s="17">
        <x:v>94</x:v>
      </x:c>
      <x:c r="R97" s="18" t="s">
        <x:v>589</x:v>
      </x:c>
      <x:c r="S97" s="17" t="s">
        <x:v>590</x:v>
      </x:c>
      <x:c r="T97" s="17" t="s">
        <x:v>419</x:v>
      </x:c>
      <x:c r="U97" s="17">
        <x:v>33</x:v>
      </x:c>
      <x:c r="V97" s="18">
        <x:f>IFERROR(VLOOKUP(U97, $A$5:$B$52, 2, FALSE), "")</x:f>
      </x:c>
      <x:c r="W97" s="17" t="s">
        <x:v>63</x:v>
      </x:c>
      <x:c r="X97" s="17" t="s">
        <x:v>420</x:v>
      </x:c>
      <x:c r="Y97" s="17" t="s">
        <x:v>123</x:v>
      </x:c>
      <x:c r="Z97" s="18" t="s">
        <x:v>203</x:v>
      </x:c>
    </x:row>
    <x:row r="98" spans="1:39">
      <x:c r="F98" s="18">
        <x:f>IFERROR(VLOOKUP(G98, $A$5:$B$52, 2, FALSE), "")</x:f>
      </x:c>
      <x:c r="G98" s="17">
        <x:v>22</x:v>
      </x:c>
      <x:c r="H98" s="17" t="s">
        <x:v>61</x:v>
      </x:c>
      <x:c r="I98" s="17">
        <x:v>94</x:v>
      </x:c>
      <x:c r="J98" s="18" t="s">
        <x:v>297</x:v>
      </x:c>
      <x:c r="K98" s="18" t="s">
        <x:v>259</x:v>
      </x:c>
      <x:c r="L98" s="17" t="s">
        <x:v>118</x:v>
      </x:c>
      <x:c r="M98" s="17">
        <x:v>43</x:v>
      </x:c>
      <x:c r="N98" s="18">
        <x:f>IFERROR(VLOOKUP(G98, $A$5:$C$52, 3, FALSE), "")</x:f>
      </x:c>
      <x:c r="O98" s="18" t="s">
        <x:v>203</x:v>
      </x:c>
      <x:c r="P98" s="17" t="s">
        <x:v>203</x:v>
      </x:c>
      <x:c r="Q98" s="17">
        <x:v>95</x:v>
      </x:c>
      <x:c r="R98" s="18" t="s">
        <x:v>591</x:v>
      </x:c>
      <x:c r="S98" s="17" t="s">
        <x:v>592</x:v>
      </x:c>
      <x:c r="T98" s="17" t="s">
        <x:v>419</x:v>
      </x:c>
      <x:c r="U98" s="17">
        <x:v>34</x:v>
      </x:c>
      <x:c r="V98" s="18">
        <x:f>IFERROR(VLOOKUP(U98, $A$5:$B$52, 2, FALSE), "")</x:f>
      </x:c>
      <x:c r="W98" s="17" t="s">
        <x:v>63</x:v>
      </x:c>
      <x:c r="X98" s="17" t="s">
        <x:v>420</x:v>
      </x:c>
      <x:c r="Y98" s="17" t="s">
        <x:v>123</x:v>
      </x:c>
      <x:c r="Z98" s="18" t="s">
        <x:v>203</x:v>
      </x:c>
    </x:row>
    <x:row r="99" spans="1:39">
      <x:c r="F99" s="18">
        <x:f>IFERROR(VLOOKUP(G99, $A$5:$B$52, 2, FALSE), "")</x:f>
      </x:c>
      <x:c r="G99" s="17">
        <x:v>22</x:v>
      </x:c>
      <x:c r="H99" s="17" t="s">
        <x:v>61</x:v>
      </x:c>
      <x:c r="I99" s="17">
        <x:v>95</x:v>
      </x:c>
      <x:c r="J99" s="18" t="s">
        <x:v>298</x:v>
      </x:c>
      <x:c r="K99" s="18" t="s">
        <x:v>259</x:v>
      </x:c>
      <x:c r="L99" s="17" t="s">
        <x:v>119</x:v>
      </x:c>
      <x:c r="M99" s="17">
        <x:v>44</x:v>
      </x:c>
      <x:c r="N99" s="18">
        <x:f>IFERROR(VLOOKUP(G99, $A$5:$C$52, 3, FALSE), "")</x:f>
      </x:c>
      <x:c r="O99" s="18" t="s">
        <x:v>203</x:v>
      </x:c>
      <x:c r="P99" s="17" t="s">
        <x:v>203</x:v>
      </x:c>
      <x:c r="Q99" s="17">
        <x:v>96</x:v>
      </x:c>
      <x:c r="R99" s="18" t="s">
        <x:v>593</x:v>
      </x:c>
      <x:c r="S99" s="17" t="s">
        <x:v>594</x:v>
      </x:c>
      <x:c r="T99" s="17" t="s">
        <x:v>419</x:v>
      </x:c>
      <x:c r="U99" s="17">
        <x:v>35</x:v>
      </x:c>
      <x:c r="V99" s="18">
        <x:f>IFERROR(VLOOKUP(U99, $A$5:$B$52, 2, FALSE), "")</x:f>
      </x:c>
      <x:c r="W99" s="17" t="s">
        <x:v>63</x:v>
      </x:c>
      <x:c r="X99" s="17" t="s">
        <x:v>420</x:v>
      </x:c>
      <x:c r="Y99" s="17" t="s">
        <x:v>123</x:v>
      </x:c>
      <x:c r="Z99" s="18" t="s">
        <x:v>203</x:v>
      </x:c>
    </x:row>
    <x:row r="100" spans="1:39">
      <x:c r="F100" s="18">
        <x:f>IFERROR(VLOOKUP(G100, $A$5:$B$52, 2, FALSE), "")</x:f>
      </x:c>
      <x:c r="G100" s="17">
        <x:v>23</x:v>
      </x:c>
      <x:c r="H100" s="17" t="s">
        <x:v>61</x:v>
      </x:c>
      <x:c r="I100" s="17">
        <x:v>96</x:v>
      </x:c>
      <x:c r="J100" s="18" t="s">
        <x:v>299</x:v>
      </x:c>
      <x:c r="K100" s="18" t="s">
        <x:v>259</x:v>
      </x:c>
      <x:c r="L100" s="17" t="s">
        <x:v>117</x:v>
      </x:c>
      <x:c r="M100" s="17">
        <x:v>45</x:v>
      </x:c>
      <x:c r="N100" s="18">
        <x:f>IFERROR(VLOOKUP(G100, $A$5:$C$52, 3, FALSE), "")</x:f>
      </x:c>
      <x:c r="O100" s="18" t="s">
        <x:v>203</x:v>
      </x:c>
      <x:c r="P100" s="17" t="s">
        <x:v>203</x:v>
      </x:c>
      <x:c r="Q100" s="17">
        <x:v>97</x:v>
      </x:c>
      <x:c r="R100" s="18" t="s">
        <x:v>595</x:v>
      </x:c>
      <x:c r="S100" s="17" t="s">
        <x:v>596</x:v>
      </x:c>
      <x:c r="T100" s="17" t="s">
        <x:v>419</x:v>
      </x:c>
      <x:c r="U100" s="17">
        <x:v>36</x:v>
      </x:c>
      <x:c r="V100" s="18">
        <x:f>IFERROR(VLOOKUP(U100, $A$5:$B$52, 2, FALSE), "")</x:f>
      </x:c>
      <x:c r="W100" s="17" t="s">
        <x:v>63</x:v>
      </x:c>
      <x:c r="X100" s="17" t="s">
        <x:v>420</x:v>
      </x:c>
      <x:c r="Y100" s="17" t="s">
        <x:v>123</x:v>
      </x:c>
      <x:c r="Z100" s="18" t="s">
        <x:v>203</x:v>
      </x:c>
    </x:row>
    <x:row r="101" spans="1:39">
      <x:c r="F101" s="18">
        <x:f>IFERROR(VLOOKUP(G101, $A$5:$B$52, 2, FALSE), "")</x:f>
      </x:c>
      <x:c r="G101" s="17">
        <x:v>23</x:v>
      </x:c>
      <x:c r="H101" s="17" t="s">
        <x:v>61</x:v>
      </x:c>
      <x:c r="I101" s="17">
        <x:v>97</x:v>
      </x:c>
      <x:c r="J101" s="18" t="s">
        <x:v>300</x:v>
      </x:c>
      <x:c r="K101" s="18" t="s">
        <x:v>261</x:v>
      </x:c>
      <x:c r="L101" s="17" t="s">
        <x:v>117</x:v>
      </x:c>
      <x:c r="M101" s="17">
        <x:v>46</x:v>
      </x:c>
      <x:c r="N101" s="18">
        <x:f>IFERROR(VLOOKUP(G101, $A$5:$C$52, 3, FALSE), "")</x:f>
      </x:c>
      <x:c r="O101" s="18" t="s">
        <x:v>203</x:v>
      </x:c>
      <x:c r="P101" s="17" t="s">
        <x:v>203</x:v>
      </x:c>
      <x:c r="Q101" s="17">
        <x:v>98</x:v>
      </x:c>
      <x:c r="R101" s="18" t="s">
        <x:v>597</x:v>
      </x:c>
      <x:c r="S101" s="17" t="s">
        <x:v>598</x:v>
      </x:c>
      <x:c r="T101" s="17" t="s">
        <x:v>419</x:v>
      </x:c>
      <x:c r="U101" s="17">
        <x:v>37</x:v>
      </x:c>
      <x:c r="V101" s="18">
        <x:f>IFERROR(VLOOKUP(U101, $A$5:$B$52, 2, FALSE), "")</x:f>
      </x:c>
      <x:c r="W101" s="17" t="s">
        <x:v>63</x:v>
      </x:c>
      <x:c r="X101" s="17" t="s">
        <x:v>420</x:v>
      </x:c>
      <x:c r="Y101" s="17" t="s">
        <x:v>123</x:v>
      </x:c>
      <x:c r="Z101" s="18" t="s">
        <x:v>203</x:v>
      </x:c>
    </x:row>
    <x:row r="102" spans="1:39">
      <x:c r="F102" s="18">
        <x:f>IFERROR(VLOOKUP(G102, $A$5:$B$52, 2, FALSE), "")</x:f>
      </x:c>
      <x:c r="G102" s="17">
        <x:v>23</x:v>
      </x:c>
      <x:c r="H102" s="17" t="s">
        <x:v>61</x:v>
      </x:c>
      <x:c r="I102" s="17">
        <x:v>98</x:v>
      </x:c>
      <x:c r="J102" s="18" t="s">
        <x:v>301</x:v>
      </x:c>
      <x:c r="K102" s="18" t="s">
        <x:v>259</x:v>
      </x:c>
      <x:c r="L102" s="17" t="s">
        <x:v>118</x:v>
      </x:c>
      <x:c r="M102" s="17">
        <x:v>47</x:v>
      </x:c>
      <x:c r="N102" s="18">
        <x:f>IFERROR(VLOOKUP(G102, $A$5:$C$52, 3, FALSE), "")</x:f>
      </x:c>
      <x:c r="O102" s="18" t="s">
        <x:v>203</x:v>
      </x:c>
      <x:c r="P102" s="17" t="s">
        <x:v>203</x:v>
      </x:c>
      <x:c r="Q102" s="17">
        <x:v>99</x:v>
      </x:c>
      <x:c r="R102" s="18" t="s">
        <x:v>599</x:v>
      </x:c>
      <x:c r="S102" s="17" t="s">
        <x:v>600</x:v>
      </x:c>
      <x:c r="T102" s="17" t="s">
        <x:v>419</x:v>
      </x:c>
      <x:c r="U102" s="17">
        <x:v>38</x:v>
      </x:c>
      <x:c r="V102" s="18">
        <x:f>IFERROR(VLOOKUP(U102, $A$5:$B$52, 2, FALSE), "")</x:f>
      </x:c>
      <x:c r="W102" s="17" t="s">
        <x:v>63</x:v>
      </x:c>
      <x:c r="X102" s="17" t="s">
        <x:v>420</x:v>
      </x:c>
      <x:c r="Y102" s="17" t="s">
        <x:v>123</x:v>
      </x:c>
      <x:c r="Z102" s="18" t="s">
        <x:v>203</x:v>
      </x:c>
    </x:row>
    <x:row r="103" spans="1:39">
      <x:c r="F103" s="18">
        <x:f>IFERROR(VLOOKUP(G103, $A$5:$B$52, 2, FALSE), "")</x:f>
      </x:c>
      <x:c r="G103" s="17">
        <x:v>23</x:v>
      </x:c>
      <x:c r="H103" s="17" t="s">
        <x:v>61</x:v>
      </x:c>
      <x:c r="I103" s="17">
        <x:v>99</x:v>
      </x:c>
      <x:c r="J103" s="18" t="s">
        <x:v>302</x:v>
      </x:c>
      <x:c r="K103" s="18" t="s">
        <x:v>259</x:v>
      </x:c>
      <x:c r="L103" s="17" t="s">
        <x:v>119</x:v>
      </x:c>
      <x:c r="M103" s="17">
        <x:v>48</x:v>
      </x:c>
      <x:c r="N103" s="18">
        <x:f>IFERROR(VLOOKUP(G103, $A$5:$C$52, 3, FALSE), "")</x:f>
      </x:c>
      <x:c r="O103" s="18" t="s">
        <x:v>203</x:v>
      </x:c>
      <x:c r="P103" s="17" t="s">
        <x:v>203</x:v>
      </x:c>
      <x:c r="Q103" s="17">
        <x:v>100</x:v>
      </x:c>
      <x:c r="R103" s="18" t="s">
        <x:v>601</x:v>
      </x:c>
      <x:c r="S103" s="17" t="s">
        <x:v>602</x:v>
      </x:c>
      <x:c r="T103" s="17" t="s">
        <x:v>419</x:v>
      </x:c>
      <x:c r="U103" s="17">
        <x:v>39</x:v>
      </x:c>
      <x:c r="V103" s="18">
        <x:f>IFERROR(VLOOKUP(U103, $A$5:$B$52, 2, FALSE), "")</x:f>
      </x:c>
      <x:c r="W103" s="17" t="s">
        <x:v>63</x:v>
      </x:c>
      <x:c r="X103" s="17" t="s">
        <x:v>420</x:v>
      </x:c>
      <x:c r="Y103" s="17" t="s">
        <x:v>123</x:v>
      </x:c>
      <x:c r="Z103" s="18" t="s">
        <x:v>203</x:v>
      </x:c>
    </x:row>
    <x:row r="104" spans="1:39">
      <x:c r="F104" s="18">
        <x:f>IFERROR(VLOOKUP(G104, $A$5:$B$52, 2, FALSE), "")</x:f>
      </x:c>
      <x:c r="G104" s="17">
        <x:v>23</x:v>
      </x:c>
      <x:c r="H104" s="17" t="s">
        <x:v>61</x:v>
      </x:c>
      <x:c r="I104" s="17">
        <x:v>100</x:v>
      </x:c>
      <x:c r="J104" s="18" t="s">
        <x:v>303</x:v>
      </x:c>
      <x:c r="K104" s="18" t="s">
        <x:v>272</x:v>
      </x:c>
      <x:c r="L104" s="17" t="s">
        <x:v>119</x:v>
      </x:c>
      <x:c r="M104" s="17">
        <x:v>49</x:v>
      </x:c>
      <x:c r="N104" s="18">
        <x:f>IFERROR(VLOOKUP(G104, $A$5:$C$52, 3, FALSE), "")</x:f>
      </x:c>
      <x:c r="O104" s="18" t="s">
        <x:v>203</x:v>
      </x:c>
      <x:c r="P104" s="17" t="s">
        <x:v>203</x:v>
      </x:c>
      <x:c r="Q104" s="17">
        <x:v>101</x:v>
      </x:c>
      <x:c r="R104" s="18" t="s">
        <x:v>603</x:v>
      </x:c>
      <x:c r="S104" s="17" t="s">
        <x:v>604</x:v>
      </x:c>
      <x:c r="T104" s="17" t="s">
        <x:v>419</x:v>
      </x:c>
      <x:c r="U104" s="17">
        <x:v>40</x:v>
      </x:c>
      <x:c r="V104" s="18">
        <x:f>IFERROR(VLOOKUP(U104, $A$5:$B$52, 2, FALSE), "")</x:f>
      </x:c>
      <x:c r="W104" s="17" t="s">
        <x:v>63</x:v>
      </x:c>
      <x:c r="X104" s="17" t="s">
        <x:v>420</x:v>
      </x:c>
      <x:c r="Y104" s="17" t="s">
        <x:v>123</x:v>
      </x:c>
      <x:c r="Z104" s="18" t="s">
        <x:v>203</x:v>
      </x:c>
    </x:row>
    <x:row r="105" spans="1:39">
      <x:c r="F105" s="18">
        <x:f>IFERROR(VLOOKUP(G105, $A$5:$B$52, 2, FALSE), "")</x:f>
      </x:c>
      <x:c r="G105" s="17">
        <x:v>24</x:v>
      </x:c>
      <x:c r="H105" s="17" t="s">
        <x:v>61</x:v>
      </x:c>
      <x:c r="I105" s="17">
        <x:v>101</x:v>
      </x:c>
      <x:c r="J105" s="18" t="s">
        <x:v>304</x:v>
      </x:c>
      <x:c r="K105" s="18" t="s">
        <x:v>259</x:v>
      </x:c>
      <x:c r="L105" s="17" t="s">
        <x:v>120</x:v>
      </x:c>
      <x:c r="M105" s="17">
        <x:v>50</x:v>
      </x:c>
      <x:c r="N105" s="18">
        <x:f>IFERROR(VLOOKUP(G105, $A$5:$C$52, 3, FALSE), "")</x:f>
      </x:c>
      <x:c r="O105" s="18" t="s">
        <x:v>203</x:v>
      </x:c>
      <x:c r="P105" s="17" t="s">
        <x:v>203</x:v>
      </x:c>
      <x:c r="Q105" s="17">
        <x:v>102</x:v>
      </x:c>
      <x:c r="R105" s="18" t="s">
        <x:v>605</x:v>
      </x:c>
      <x:c r="S105" s="17" t="s">
        <x:v>606</x:v>
      </x:c>
      <x:c r="T105" s="17" t="s">
        <x:v>419</x:v>
      </x:c>
      <x:c r="U105" s="17">
        <x:v>41</x:v>
      </x:c>
      <x:c r="V105" s="18">
        <x:f>IFERROR(VLOOKUP(U105, $A$5:$B$52, 2, FALSE), "")</x:f>
      </x:c>
      <x:c r="W105" s="17" t="s">
        <x:v>63</x:v>
      </x:c>
      <x:c r="X105" s="17" t="s">
        <x:v>420</x:v>
      </x:c>
      <x:c r="Y105" s="17" t="s">
        <x:v>123</x:v>
      </x:c>
      <x:c r="Z105" s="18" t="s">
        <x:v>203</x:v>
      </x:c>
    </x:row>
    <x:row r="106" spans="1:39">
      <x:c r="F106" s="18">
        <x:f>IFERROR(VLOOKUP(G106, $A$5:$B$52, 2, FALSE), "")</x:f>
      </x:c>
      <x:c r="G106" s="17">
        <x:v>24</x:v>
      </x:c>
      <x:c r="H106" s="17" t="s">
        <x:v>61</x:v>
      </x:c>
      <x:c r="I106" s="17">
        <x:v>102</x:v>
      </x:c>
      <x:c r="J106" s="18" t="s">
        <x:v>305</x:v>
      </x:c>
      <x:c r="K106" s="18" t="s">
        <x:v>261</x:v>
      </x:c>
      <x:c r="L106" s="17" t="s">
        <x:v>120</x:v>
      </x:c>
      <x:c r="M106" s="17">
        <x:v>51</x:v>
      </x:c>
      <x:c r="N106" s="18">
        <x:f>IFERROR(VLOOKUP(G106, $A$5:$C$52, 3, FALSE), "")</x:f>
      </x:c>
      <x:c r="O106" s="18" t="s">
        <x:v>203</x:v>
      </x:c>
      <x:c r="P106" s="17" t="s">
        <x:v>203</x:v>
      </x:c>
      <x:c r="Q106" s="17">
        <x:v>103</x:v>
      </x:c>
      <x:c r="R106" s="18" t="s">
        <x:v>607</x:v>
      </x:c>
      <x:c r="S106" s="17" t="s">
        <x:v>608</x:v>
      </x:c>
      <x:c r="T106" s="17" t="s">
        <x:v>419</x:v>
      </x:c>
      <x:c r="U106" s="17">
        <x:v>42</x:v>
      </x:c>
      <x:c r="V106" s="18">
        <x:f>IFERROR(VLOOKUP(U106, $A$5:$B$52, 2, FALSE), "")</x:f>
      </x:c>
      <x:c r="W106" s="17" t="s">
        <x:v>63</x:v>
      </x:c>
      <x:c r="X106" s="17" t="s">
        <x:v>420</x:v>
      </x:c>
      <x:c r="Y106" s="17" t="s">
        <x:v>123</x:v>
      </x:c>
      <x:c r="Z106" s="18" t="s">
        <x:v>203</x:v>
      </x:c>
    </x:row>
    <x:row r="107" spans="1:39">
      <x:c r="F107" s="18">
        <x:f>IFERROR(VLOOKUP(G107, $A$5:$B$52, 2, FALSE), "")</x:f>
      </x:c>
      <x:c r="G107" s="17">
        <x:v>24</x:v>
      </x:c>
      <x:c r="H107" s="17" t="s">
        <x:v>61</x:v>
      </x:c>
      <x:c r="I107" s="17">
        <x:v>103</x:v>
      </x:c>
      <x:c r="J107" s="18" t="s">
        <x:v>306</x:v>
      </x:c>
      <x:c r="K107" s="18" t="s">
        <x:v>259</x:v>
      </x:c>
      <x:c r="L107" s="17" t="s">
        <x:v>121</x:v>
      </x:c>
      <x:c r="M107" s="17">
        <x:v>52</x:v>
      </x:c>
      <x:c r="N107" s="18">
        <x:f>IFERROR(VLOOKUP(G107, $A$5:$C$52, 3, FALSE), "")</x:f>
      </x:c>
      <x:c r="O107" s="18" t="s">
        <x:v>203</x:v>
      </x:c>
      <x:c r="P107" s="17" t="s">
        <x:v>203</x:v>
      </x:c>
      <x:c r="Q107" s="17">
        <x:v>104</x:v>
      </x:c>
      <x:c r="R107" s="18" t="s">
        <x:v>609</x:v>
      </x:c>
      <x:c r="S107" s="17" t="s">
        <x:v>610</x:v>
      </x:c>
      <x:c r="T107" s="17" t="s">
        <x:v>419</x:v>
      </x:c>
      <x:c r="U107" s="17">
        <x:v>43</x:v>
      </x:c>
      <x:c r="V107" s="18">
        <x:f>IFERROR(VLOOKUP(U107, $A$5:$B$52, 2, FALSE), "")</x:f>
      </x:c>
      <x:c r="W107" s="17" t="s">
        <x:v>63</x:v>
      </x:c>
      <x:c r="X107" s="17" t="s">
        <x:v>420</x:v>
      </x:c>
      <x:c r="Y107" s="17" t="s">
        <x:v>123</x:v>
      </x:c>
      <x:c r="Z107" s="18" t="s">
        <x:v>203</x:v>
      </x:c>
    </x:row>
    <x:row r="108" spans="1:39">
      <x:c r="F108" s="18">
        <x:f>IFERROR(VLOOKUP(G108, $A$5:$B$52, 2, FALSE), "")</x:f>
      </x:c>
      <x:c r="G108" s="17">
        <x:v>24</x:v>
      </x:c>
      <x:c r="H108" s="17" t="s">
        <x:v>61</x:v>
      </x:c>
      <x:c r="I108" s="17">
        <x:v>104</x:v>
      </x:c>
      <x:c r="J108" s="18" t="s">
        <x:v>307</x:v>
      </x:c>
      <x:c r="K108" s="18" t="s">
        <x:v>259</x:v>
      </x:c>
      <x:c r="L108" s="17" t="s">
        <x:v>122</x:v>
      </x:c>
      <x:c r="M108" s="17">
        <x:v>53</x:v>
      </x:c>
      <x:c r="N108" s="18">
        <x:f>IFERROR(VLOOKUP(G108, $A$5:$C$52, 3, FALSE), "")</x:f>
      </x:c>
      <x:c r="O108" s="18" t="s">
        <x:v>203</x:v>
      </x:c>
      <x:c r="P108" s="17" t="s">
        <x:v>203</x:v>
      </x:c>
      <x:c r="Q108" s="17">
        <x:v>105</x:v>
      </x:c>
      <x:c r="R108" s="18" t="s">
        <x:v>611</x:v>
      </x:c>
      <x:c r="S108" s="17" t="s">
        <x:v>145</x:v>
      </x:c>
      <x:c r="T108" s="17" t="s">
        <x:v>419</x:v>
      </x:c>
      <x:c r="U108" s="17">
        <x:v>44</x:v>
      </x:c>
      <x:c r="V108" s="18">
        <x:f>IFERROR(VLOOKUP(U108, $A$5:$B$52, 2, FALSE), "")</x:f>
      </x:c>
      <x:c r="W108" s="17" t="s">
        <x:v>63</x:v>
      </x:c>
      <x:c r="X108" s="17" t="s">
        <x:v>420</x:v>
      </x:c>
      <x:c r="Y108" s="17" t="s">
        <x:v>123</x:v>
      </x:c>
      <x:c r="Z108" s="18" t="s">
        <x:v>203</x:v>
      </x:c>
    </x:row>
    <x:row r="109" spans="1:39">
      <x:c r="F109" s="18">
        <x:f>IFERROR(VLOOKUP(G109, $A$5:$B$52, 2, FALSE), "")</x:f>
      </x:c>
      <x:c r="G109" s="17">
        <x:v>24</x:v>
      </x:c>
      <x:c r="H109" s="17" t="s">
        <x:v>61</x:v>
      </x:c>
      <x:c r="I109" s="17">
        <x:v>105</x:v>
      </x:c>
      <x:c r="J109" s="18" t="s">
        <x:v>308</x:v>
      </x:c>
      <x:c r="K109" s="18" t="s">
        <x:v>282</x:v>
      </x:c>
      <x:c r="L109" s="17" t="s">
        <x:v>122</x:v>
      </x:c>
      <x:c r="M109" s="17">
        <x:v>54</x:v>
      </x:c>
      <x:c r="N109" s="18">
        <x:f>IFERROR(VLOOKUP(G109, $A$5:$C$52, 3, FALSE), "")</x:f>
      </x:c>
      <x:c r="O109" s="18" t="s">
        <x:v>203</x:v>
      </x:c>
      <x:c r="P109" s="17" t="s">
        <x:v>203</x:v>
      </x:c>
      <x:c r="Q109" s="17">
        <x:v>106</x:v>
      </x:c>
      <x:c r="R109" s="18" t="s">
        <x:v>612</x:v>
      </x:c>
      <x:c r="S109" s="17" t="s">
        <x:v>613</x:v>
      </x:c>
      <x:c r="T109" s="17" t="s">
        <x:v>419</x:v>
      </x:c>
      <x:c r="U109" s="17">
        <x:v>45</x:v>
      </x:c>
      <x:c r="V109" s="18">
        <x:f>IFERROR(VLOOKUP(U109, $A$5:$B$52, 2, FALSE), "")</x:f>
      </x:c>
      <x:c r="W109" s="17" t="s">
        <x:v>63</x:v>
      </x:c>
      <x:c r="X109" s="17" t="s">
        <x:v>420</x:v>
      </x:c>
      <x:c r="Y109" s="17" t="s">
        <x:v>123</x:v>
      </x:c>
      <x:c r="Z109" s="18" t="s">
        <x:v>203</x:v>
      </x:c>
    </x:row>
    <x:row r="110" spans="1:39">
      <x:c r="F110" s="18">
        <x:f>IFERROR(VLOOKUP(G110, $A$5:$B$52, 2, FALSE), "")</x:f>
      </x:c>
      <x:c r="G110" s="17">
        <x:v>25</x:v>
      </x:c>
      <x:c r="H110" s="17" t="s">
        <x:v>62</x:v>
      </x:c>
      <x:c r="I110" s="17">
        <x:v>106</x:v>
      </x:c>
      <x:c r="J110" s="18" t="s">
        <x:v>309</x:v>
      </x:c>
      <x:c r="K110" s="18" t="s">
        <x:v>68</x:v>
      </x:c>
      <x:c r="L110" s="17" t="s">
        <x:v>117</x:v>
      </x:c>
      <x:c r="M110" s="17">
        <x:v>10</x:v>
      </x:c>
      <x:c r="N110" s="18">
        <x:f>IFERROR(VLOOKUP(G110, $A$5:$C$52, 3, FALSE), "")</x:f>
      </x:c>
      <x:c r="O110" s="18" t="s">
        <x:v>203</x:v>
      </x:c>
      <x:c r="P110" s="17" t="s">
        <x:v>203</x:v>
      </x:c>
      <x:c r="Q110" s="17">
        <x:v>107</x:v>
      </x:c>
      <x:c r="R110" s="18" t="s">
        <x:v>614</x:v>
      </x:c>
      <x:c r="S110" s="17" t="s">
        <x:v>615</x:v>
      </x:c>
      <x:c r="T110" s="17" t="s">
        <x:v>419</x:v>
      </x:c>
      <x:c r="U110" s="17">
        <x:v>46</x:v>
      </x:c>
      <x:c r="V110" s="18">
        <x:f>IFERROR(VLOOKUP(U110, $A$5:$B$52, 2, FALSE), "")</x:f>
      </x:c>
      <x:c r="W110" s="17" t="s">
        <x:v>63</x:v>
      </x:c>
      <x:c r="X110" s="17" t="s">
        <x:v>420</x:v>
      </x:c>
      <x:c r="Y110" s="17" t="s">
        <x:v>123</x:v>
      </x:c>
      <x:c r="Z110" s="18" t="s">
        <x:v>203</x:v>
      </x:c>
    </x:row>
    <x:row r="111" spans="1:39">
      <x:c r="F111" s="18">
        <x:f>IFERROR(VLOOKUP(G111, $A$5:$B$52, 2, FALSE), "")</x:f>
      </x:c>
      <x:c r="G111" s="17">
        <x:v>25</x:v>
      </x:c>
      <x:c r="H111" s="17" t="s">
        <x:v>62</x:v>
      </x:c>
      <x:c r="I111" s="17">
        <x:v>107</x:v>
      </x:c>
      <x:c r="J111" s="18" t="s">
        <x:v>310</x:v>
      </x:c>
      <x:c r="K111" s="18" t="s">
        <x:v>90</x:v>
      </x:c>
      <x:c r="L111" s="17" t="s">
        <x:v>117</x:v>
      </x:c>
      <x:c r="M111" s="17">
        <x:v>37</x:v>
      </x:c>
      <x:c r="N111" s="18">
        <x:f>IFERROR(VLOOKUP(G111, $A$5:$C$52, 3, FALSE), "")</x:f>
      </x:c>
      <x:c r="O111" s="18" t="s">
        <x:v>203</x:v>
      </x:c>
      <x:c r="P111" s="17" t="s">
        <x:v>203</x:v>
      </x:c>
      <x:c r="Q111" s="17">
        <x:v>108</x:v>
      </x:c>
      <x:c r="R111" s="18" t="s">
        <x:v>616</x:v>
      </x:c>
      <x:c r="S111" s="17" t="s">
        <x:v>617</x:v>
      </x:c>
      <x:c r="T111" s="17" t="s">
        <x:v>419</x:v>
      </x:c>
      <x:c r="U111" s="17">
        <x:v>47</x:v>
      </x:c>
      <x:c r="V111" s="18">
        <x:f>IFERROR(VLOOKUP(U111, $A$5:$B$52, 2, FALSE), "")</x:f>
      </x:c>
      <x:c r="W111" s="17" t="s">
        <x:v>63</x:v>
      </x:c>
      <x:c r="X111" s="17" t="s">
        <x:v>420</x:v>
      </x:c>
      <x:c r="Y111" s="17" t="s">
        <x:v>123</x:v>
      </x:c>
      <x:c r="Z111" s="18" t="s">
        <x:v>203</x:v>
      </x:c>
    </x:row>
    <x:row r="112" spans="1:39">
      <x:c r="F112" s="18">
        <x:f>IFERROR(VLOOKUP(G112, $A$5:$B$52, 2, FALSE), "")</x:f>
      </x:c>
      <x:c r="G112" s="17">
        <x:v>25</x:v>
      </x:c>
      <x:c r="H112" s="17" t="s">
        <x:v>62</x:v>
      </x:c>
      <x:c r="I112" s="17">
        <x:v>108</x:v>
      </x:c>
      <x:c r="J112" s="18" t="s">
        <x:v>311</x:v>
      </x:c>
      <x:c r="K112" s="18" t="s">
        <x:v>68</x:v>
      </x:c>
      <x:c r="L112" s="17" t="s">
        <x:v>118</x:v>
      </x:c>
      <x:c r="M112" s="17">
        <x:v>64</x:v>
      </x:c>
      <x:c r="N112" s="18">
        <x:f>IFERROR(VLOOKUP(G112, $A$5:$C$52, 3, FALSE), "")</x:f>
      </x:c>
      <x:c r="O112" s="18" t="s">
        <x:v>203</x:v>
      </x:c>
      <x:c r="P112" s="17" t="s">
        <x:v>203</x:v>
      </x:c>
      <x:c r="Q112" s="17">
        <x:v>109</x:v>
      </x:c>
      <x:c r="R112" s="18" t="s">
        <x:v>618</x:v>
      </x:c>
      <x:c r="S112" s="17" t="s">
        <x:v>619</x:v>
      </x:c>
      <x:c r="T112" s="17" t="s">
        <x:v>419</x:v>
      </x:c>
      <x:c r="U112" s="17">
        <x:v>48</x:v>
      </x:c>
      <x:c r="V112" s="18">
        <x:f>IFERROR(VLOOKUP(U112, $A$5:$B$52, 2, FALSE), "")</x:f>
      </x:c>
      <x:c r="W112" s="17" t="s">
        <x:v>63</x:v>
      </x:c>
      <x:c r="X112" s="17" t="s">
        <x:v>420</x:v>
      </x:c>
      <x:c r="Y112" s="17" t="s">
        <x:v>123</x:v>
      </x:c>
      <x:c r="Z112" s="18" t="s">
        <x:v>203</x:v>
      </x:c>
    </x:row>
    <x:row r="113" spans="1:39">
      <x:c r="F113" s="18">
        <x:f>IFERROR(VLOOKUP(G113, $A$5:$B$52, 2, FALSE), "")</x:f>
      </x:c>
      <x:c r="G113" s="17">
        <x:v>25</x:v>
      </x:c>
      <x:c r="H113" s="17" t="s">
        <x:v>62</x:v>
      </x:c>
      <x:c r="I113" s="17">
        <x:v>109</x:v>
      </x:c>
      <x:c r="J113" s="18" t="s">
        <x:v>312</x:v>
      </x:c>
      <x:c r="K113" s="18" t="s">
        <x:v>90</x:v>
      </x:c>
      <x:c r="L113" s="17" t="s">
        <x:v>118</x:v>
      </x:c>
      <x:c r="M113" s="17">
        <x:v>91</x:v>
      </x:c>
      <x:c r="N113" s="18">
        <x:f>IFERROR(VLOOKUP(G113, $A$5:$C$52, 3, FALSE), "")</x:f>
      </x:c>
      <x:c r="O113" s="18" t="s">
        <x:v>203</x:v>
      </x:c>
      <x:c r="P113" s="17" t="s">
        <x:v>203</x:v>
      </x:c>
    </x:row>
    <x:row r="114" spans="1:39">
      <x:c r="F114" s="18">
        <x:f>IFERROR(VLOOKUP(G114, $A$5:$B$52, 2, FALSE), "")</x:f>
      </x:c>
      <x:c r="G114" s="17">
        <x:v>25</x:v>
      </x:c>
      <x:c r="H114" s="17" t="s">
        <x:v>62</x:v>
      </x:c>
      <x:c r="I114" s="17">
        <x:v>114</x:v>
      </x:c>
      <x:c r="J114" s="18" t="s">
        <x:v>313</x:v>
      </x:c>
      <x:c r="K114" s="18" t="s">
        <x:v>101</x:v>
      </x:c>
      <x:c r="L114" s="17" t="s">
        <x:v>119</x:v>
      </x:c>
      <x:c r="M114" s="17">
        <x:v>118</x:v>
      </x:c>
      <x:c r="N114" s="18">
        <x:f>IFERROR(VLOOKUP(G114, $A$5:$C$52, 3, FALSE), "")</x:f>
      </x:c>
      <x:c r="O114" s="18" t="s">
        <x:v>203</x:v>
      </x:c>
      <x:c r="P114" s="17" t="s">
        <x:v>203</x:v>
      </x:c>
    </x:row>
    <x:row r="115" spans="1:39">
      <x:c r="F115" s="18">
        <x:f>IFERROR(VLOOKUP(G115, $A$5:$B$52, 2, FALSE), "")</x:f>
      </x:c>
      <x:c r="G115" s="17">
        <x:v>26</x:v>
      </x:c>
      <x:c r="H115" s="17" t="s">
        <x:v>62</x:v>
      </x:c>
      <x:c r="I115" s="17">
        <x:v>110</x:v>
      </x:c>
      <x:c r="J115" s="18" t="s">
        <x:v>314</x:v>
      </x:c>
      <x:c r="K115" s="18" t="s">
        <x:v>68</x:v>
      </x:c>
      <x:c r="L115" s="17" t="s">
        <x:v>120</x:v>
      </x:c>
      <x:c r="M115" s="17">
        <x:v>145</x:v>
      </x:c>
      <x:c r="N115" s="18">
        <x:f>IFERROR(VLOOKUP(G115, $A$5:$C$52, 3, FALSE), "")</x:f>
      </x:c>
      <x:c r="O115" s="18" t="s">
        <x:v>203</x:v>
      </x:c>
      <x:c r="P115" s="17" t="s">
        <x:v>203</x:v>
      </x:c>
    </x:row>
    <x:row r="116" spans="1:39">
      <x:c r="F116" s="18">
        <x:f>IFERROR(VLOOKUP(G116, $A$5:$B$52, 2, FALSE), "")</x:f>
      </x:c>
      <x:c r="G116" s="17">
        <x:v>26</x:v>
      </x:c>
      <x:c r="H116" s="17" t="s">
        <x:v>62</x:v>
      </x:c>
      <x:c r="I116" s="17">
        <x:v>111</x:v>
      </x:c>
      <x:c r="J116" s="18" t="s">
        <x:v>315</x:v>
      </x:c>
      <x:c r="K116" s="18" t="s">
        <x:v>90</x:v>
      </x:c>
      <x:c r="L116" s="17" t="s">
        <x:v>120</x:v>
      </x:c>
      <x:c r="M116" s="17">
        <x:v>172</x:v>
      </x:c>
      <x:c r="N116" s="18">
        <x:f>IFERROR(VLOOKUP(G116, $A$5:$C$52, 3, FALSE), "")</x:f>
      </x:c>
      <x:c r="O116" s="18" t="s">
        <x:v>203</x:v>
      </x:c>
      <x:c r="P116" s="17" t="s">
        <x:v>203</x:v>
      </x:c>
    </x:row>
    <x:row r="117" spans="1:39">
      <x:c r="F117" s="18">
        <x:f>IFERROR(VLOOKUP(G117, $A$5:$B$52, 2, FALSE), "")</x:f>
      </x:c>
      <x:c r="G117" s="17">
        <x:v>26</x:v>
      </x:c>
      <x:c r="H117" s="17" t="s">
        <x:v>62</x:v>
      </x:c>
      <x:c r="I117" s="17">
        <x:v>112</x:v>
      </x:c>
      <x:c r="J117" s="18" t="s">
        <x:v>316</x:v>
      </x:c>
      <x:c r="K117" s="18" t="s">
        <x:v>68</x:v>
      </x:c>
      <x:c r="L117" s="17" t="s">
        <x:v>121</x:v>
      </x:c>
      <x:c r="M117" s="17">
        <x:v>199</x:v>
      </x:c>
      <x:c r="N117" s="18">
        <x:f>IFERROR(VLOOKUP(G117, $A$5:$C$52, 3, FALSE), "")</x:f>
      </x:c>
      <x:c r="O117" s="18" t="s">
        <x:v>203</x:v>
      </x:c>
      <x:c r="P117" s="17" t="s">
        <x:v>203</x:v>
      </x:c>
    </x:row>
    <x:row r="118" spans="1:39">
      <x:c r="F118" s="18">
        <x:f>IFERROR(VLOOKUP(G118, $A$5:$B$52, 2, FALSE), "")</x:f>
      </x:c>
      <x:c r="G118" s="17">
        <x:v>26</x:v>
      </x:c>
      <x:c r="H118" s="17" t="s">
        <x:v>62</x:v>
      </x:c>
      <x:c r="I118" s="17">
        <x:v>113</x:v>
      </x:c>
      <x:c r="J118" s="18" t="s">
        <x:v>317</x:v>
      </x:c>
      <x:c r="K118" s="18" t="s">
        <x:v>90</x:v>
      </x:c>
      <x:c r="L118" s="17" t="s">
        <x:v>121</x:v>
      </x:c>
      <x:c r="M118" s="17">
        <x:v>226</x:v>
      </x:c>
      <x:c r="N118" s="18">
        <x:f>IFERROR(VLOOKUP(G118, $A$5:$C$52, 3, FALSE), "")</x:f>
      </x:c>
      <x:c r="O118" s="18" t="s">
        <x:v>203</x:v>
      </x:c>
      <x:c r="P118" s="17" t="s">
        <x:v>203</x:v>
      </x:c>
    </x:row>
    <x:row r="119" spans="1:39">
      <x:c r="F119" s="18">
        <x:f>IFERROR(VLOOKUP(G119, $A$5:$B$52, 2, FALSE), "")</x:f>
      </x:c>
      <x:c r="G119" s="17">
        <x:v>26</x:v>
      </x:c>
      <x:c r="H119" s="17" t="s">
        <x:v>62</x:v>
      </x:c>
      <x:c r="I119" s="17">
        <x:v>115</x:v>
      </x:c>
      <x:c r="J119" s="18" t="s">
        <x:v>318</x:v>
      </x:c>
      <x:c r="K119" s="18" t="s">
        <x:v>101</x:v>
      </x:c>
      <x:c r="L119" s="17" t="s">
        <x:v>122</x:v>
      </x:c>
      <x:c r="M119" s="17">
        <x:v>253</x:v>
      </x:c>
      <x:c r="N119" s="18">
        <x:f>IFERROR(VLOOKUP(G119, $A$5:$C$52, 3, FALSE), "")</x:f>
      </x:c>
      <x:c r="O119" s="18" t="s">
        <x:v>203</x:v>
      </x:c>
      <x:c r="P119" s="17" t="s">
        <x:v>203</x:v>
      </x:c>
    </x:row>
    <x:row r="120" spans="1:39">
      <x:c r="F120" s="18">
        <x:f>IFERROR(VLOOKUP(G120, $A$5:$B$52, 2, FALSE), "")</x:f>
      </x:c>
      <x:c r="G120" s="17">
        <x:v>27</x:v>
      </x:c>
      <x:c r="H120" s="17" t="s">
        <x:v>64</x:v>
      </x:c>
      <x:c r="I120" s="17">
        <x:v>116</x:v>
      </x:c>
      <x:c r="J120" s="18" t="s">
        <x:v>319</x:v>
      </x:c>
      <x:c r="K120" s="18" t="s">
        <x:v>84</x:v>
      </x:c>
      <x:c r="L120" s="17" t="s">
        <x:v>117</x:v>
      </x:c>
      <x:c r="M120" s="17">
        <x:v>12</x:v>
      </x:c>
      <x:c r="N120" s="18">
        <x:f>IFERROR(VLOOKUP(G120, $A$5:$C$52, 3, FALSE), "")</x:f>
      </x:c>
      <x:c r="O120" s="18" t="s">
        <x:v>203</x:v>
      </x:c>
      <x:c r="P120" s="17" t="s">
        <x:v>203</x:v>
      </x:c>
    </x:row>
    <x:row r="121" spans="1:39">
      <x:c r="F121" s="18">
        <x:f>IFERROR(VLOOKUP(G121, $A$5:$B$52, 2, FALSE), "")</x:f>
      </x:c>
      <x:c r="G121" s="17">
        <x:v>27</x:v>
      </x:c>
      <x:c r="H121" s="17" t="s">
        <x:v>64</x:v>
      </x:c>
      <x:c r="I121" s="17">
        <x:v>117</x:v>
      </x:c>
      <x:c r="J121" s="18" t="s">
        <x:v>320</x:v>
      </x:c>
      <x:c r="K121" s="18" t="s">
        <x:v>76</x:v>
      </x:c>
      <x:c r="L121" s="17" t="s">
        <x:v>117</x:v>
      </x:c>
      <x:c r="M121" s="17">
        <x:v>13</x:v>
      </x:c>
      <x:c r="N121" s="18">
        <x:f>IFERROR(VLOOKUP(G121, $A$5:$C$52, 3, FALSE), "")</x:f>
      </x:c>
      <x:c r="O121" s="18" t="s">
        <x:v>203</x:v>
      </x:c>
      <x:c r="P121" s="17" t="s">
        <x:v>203</x:v>
      </x:c>
    </x:row>
    <x:row r="122" spans="1:39">
      <x:c r="F122" s="18">
        <x:f>IFERROR(VLOOKUP(G122, $A$5:$B$52, 2, FALSE), "")</x:f>
      </x:c>
      <x:c r="G122" s="17">
        <x:v>27</x:v>
      </x:c>
      <x:c r="H122" s="17" t="s">
        <x:v>64</x:v>
      </x:c>
      <x:c r="I122" s="17">
        <x:v>118</x:v>
      </x:c>
      <x:c r="J122" s="18" t="s">
        <x:v>321</x:v>
      </x:c>
      <x:c r="K122" s="18" t="s">
        <x:v>322</x:v>
      </x:c>
      <x:c r="L122" s="17" t="s">
        <x:v>117</x:v>
      </x:c>
      <x:c r="M122" s="17">
        <x:v>14</x:v>
      </x:c>
      <x:c r="N122" s="18">
        <x:f>IFERROR(VLOOKUP(G122, $A$5:$C$52, 3, FALSE), "")</x:f>
      </x:c>
      <x:c r="O122" s="18" t="s">
        <x:v>203</x:v>
      </x:c>
      <x:c r="P122" s="17" t="s">
        <x:v>203</x:v>
      </x:c>
    </x:row>
    <x:row r="123" spans="1:39">
      <x:c r="F123" s="18">
        <x:f>IFERROR(VLOOKUP(G123, $A$5:$B$52, 2, FALSE), "")</x:f>
      </x:c>
      <x:c r="G123" s="17">
        <x:v>28</x:v>
      </x:c>
      <x:c r="H123" s="17" t="s">
        <x:v>64</x:v>
      </x:c>
      <x:c r="I123" s="17">
        <x:v>119</x:v>
      </x:c>
      <x:c r="J123" s="18" t="s">
        <x:v>323</x:v>
      </x:c>
      <x:c r="K123" s="18" t="s">
        <x:v>84</x:v>
      </x:c>
      <x:c r="L123" s="17" t="s">
        <x:v>117</x:v>
      </x:c>
      <x:c r="M123" s="17">
        <x:v>15</x:v>
      </x:c>
      <x:c r="N123" s="18">
        <x:f>IFERROR(VLOOKUP(G123, $A$5:$C$52, 3, FALSE), "")</x:f>
      </x:c>
      <x:c r="O123" s="18" t="s">
        <x:v>203</x:v>
      </x:c>
      <x:c r="P123" s="17" t="s">
        <x:v>203</x:v>
      </x:c>
    </x:row>
    <x:row r="124" spans="1:39">
      <x:c r="F124" s="18">
        <x:f>IFERROR(VLOOKUP(G124, $A$5:$B$52, 2, FALSE), "")</x:f>
      </x:c>
      <x:c r="G124" s="17">
        <x:v>28</x:v>
      </x:c>
      <x:c r="H124" s="17" t="s">
        <x:v>64</x:v>
      </x:c>
      <x:c r="I124" s="17">
        <x:v>120</x:v>
      </x:c>
      <x:c r="J124" s="18" t="s">
        <x:v>324</x:v>
      </x:c>
      <x:c r="K124" s="18" t="s">
        <x:v>325</x:v>
      </x:c>
      <x:c r="L124" s="17" t="s">
        <x:v>117</x:v>
      </x:c>
      <x:c r="M124" s="17">
        <x:v>16</x:v>
      </x:c>
      <x:c r="N124" s="18">
        <x:f>IFERROR(VLOOKUP(G124, $A$5:$C$52, 3, FALSE), "")</x:f>
      </x:c>
      <x:c r="O124" s="18" t="s">
        <x:v>203</x:v>
      </x:c>
      <x:c r="P124" s="17" t="s">
        <x:v>203</x:v>
      </x:c>
    </x:row>
    <x:row r="125" spans="1:39">
      <x:c r="F125" s="18">
        <x:f>IFERROR(VLOOKUP(G125, $A$5:$B$52, 2, FALSE), "")</x:f>
      </x:c>
      <x:c r="G125" s="17">
        <x:v>28</x:v>
      </x:c>
      <x:c r="H125" s="17" t="s">
        <x:v>64</x:v>
      </x:c>
      <x:c r="I125" s="17">
        <x:v>131</x:v>
      </x:c>
      <x:c r="J125" s="18" t="s">
        <x:v>326</x:v>
      </x:c>
      <x:c r="K125" s="18" t="s">
        <x:v>84</x:v>
      </x:c>
      <x:c r="L125" s="17" t="s">
        <x:v>119</x:v>
      </x:c>
      <x:c r="M125" s="17">
        <x:v>17</x:v>
      </x:c>
      <x:c r="N125" s="18">
        <x:f>IFERROR(VLOOKUP(G125, $A$5:$C$52, 3, FALSE), "")</x:f>
      </x:c>
      <x:c r="O125" s="18" t="s">
        <x:v>203</x:v>
      </x:c>
      <x:c r="P125" s="17" t="s">
        <x:v>203</x:v>
      </x:c>
    </x:row>
    <x:row r="126" spans="1:39">
      <x:c r="F126" s="18">
        <x:f>IFERROR(VLOOKUP(G126, $A$5:$B$52, 2, FALSE), "")</x:f>
      </x:c>
      <x:c r="G126" s="17">
        <x:v>28</x:v>
      </x:c>
      <x:c r="H126" s="17" t="s">
        <x:v>64</x:v>
      </x:c>
      <x:c r="I126" s="17">
        <x:v>132</x:v>
      </x:c>
      <x:c r="J126" s="18" t="s">
        <x:v>327</x:v>
      </x:c>
      <x:c r="K126" s="18" t="s">
        <x:v>116</x:v>
      </x:c>
      <x:c r="L126" s="17" t="s">
        <x:v>119</x:v>
      </x:c>
      <x:c r="M126" s="17">
        <x:v>18</x:v>
      </x:c>
      <x:c r="N126" s="18">
        <x:f>IFERROR(VLOOKUP(G126, $A$5:$C$52, 3, FALSE), "")</x:f>
      </x:c>
      <x:c r="O126" s="18" t="s">
        <x:v>203</x:v>
      </x:c>
      <x:c r="P126" s="17" t="s">
        <x:v>203</x:v>
      </x:c>
    </x:row>
    <x:row r="127" spans="1:39">
      <x:c r="F127" s="18">
        <x:f>IFERROR(VLOOKUP(G127, $A$5:$B$52, 2, FALSE), "")</x:f>
      </x:c>
      <x:c r="G127" s="17">
        <x:v>28</x:v>
      </x:c>
      <x:c r="H127" s="17" t="s">
        <x:v>64</x:v>
      </x:c>
      <x:c r="I127" s="17">
        <x:v>133</x:v>
      </x:c>
      <x:c r="J127" s="18" t="s">
        <x:v>328</x:v>
      </x:c>
      <x:c r="K127" s="18" t="s">
        <x:v>76</x:v>
      </x:c>
      <x:c r="L127" s="17" t="s">
        <x:v>119</x:v>
      </x:c>
      <x:c r="M127" s="17">
        <x:v>19</x:v>
      </x:c>
      <x:c r="N127" s="18">
        <x:f>IFERROR(VLOOKUP(G127, $A$5:$C$52, 3, FALSE), "")</x:f>
      </x:c>
      <x:c r="O127" s="18" t="s">
        <x:v>203</x:v>
      </x:c>
      <x:c r="P127" s="17" t="s">
        <x:v>203</x:v>
      </x:c>
    </x:row>
    <x:row r="128" spans="1:39">
      <x:c r="F128" s="18">
        <x:f>IFERROR(VLOOKUP(G128, $A$5:$B$52, 2, FALSE), "")</x:f>
      </x:c>
      <x:c r="G128" s="17">
        <x:v>29</x:v>
      </x:c>
      <x:c r="H128" s="17" t="s">
        <x:v>64</x:v>
      </x:c>
      <x:c r="I128" s="17">
        <x:v>121</x:v>
      </x:c>
      <x:c r="J128" s="18" t="s">
        <x:v>329</x:v>
      </x:c>
      <x:c r="K128" s="18" t="s">
        <x:v>84</x:v>
      </x:c>
      <x:c r="L128" s="17" t="s">
        <x:v>120</x:v>
      </x:c>
      <x:c r="M128" s="17">
        <x:v>20</x:v>
      </x:c>
      <x:c r="N128" s="18">
        <x:f>IFERROR(VLOOKUP(G128, $A$5:$C$52, 3, FALSE), "")</x:f>
      </x:c>
      <x:c r="O128" s="18" t="s">
        <x:v>203</x:v>
      </x:c>
      <x:c r="P128" s="17" t="s">
        <x:v>203</x:v>
      </x:c>
    </x:row>
    <x:row r="129" spans="1:39">
      <x:c r="F129" s="18">
        <x:f>IFERROR(VLOOKUP(G129, $A$5:$B$52, 2, FALSE), "")</x:f>
      </x:c>
      <x:c r="G129" s="17">
        <x:v>29</x:v>
      </x:c>
      <x:c r="H129" s="17" t="s">
        <x:v>64</x:v>
      </x:c>
      <x:c r="I129" s="17">
        <x:v>122</x:v>
      </x:c>
      <x:c r="J129" s="18" t="s">
        <x:v>330</x:v>
      </x:c>
      <x:c r="K129" s="18" t="s">
        <x:v>116</x:v>
      </x:c>
      <x:c r="L129" s="17" t="s">
        <x:v>120</x:v>
      </x:c>
      <x:c r="M129" s="17">
        <x:v>21</x:v>
      </x:c>
      <x:c r="N129" s="18">
        <x:f>IFERROR(VLOOKUP(G129, $A$5:$C$52, 3, FALSE), "")</x:f>
      </x:c>
      <x:c r="O129" s="18" t="s">
        <x:v>203</x:v>
      </x:c>
      <x:c r="P129" s="17" t="s">
        <x:v>203</x:v>
      </x:c>
    </x:row>
    <x:row r="130" spans="1:39">
      <x:c r="F130" s="18">
        <x:f>IFERROR(VLOOKUP(G130, $A$5:$B$52, 2, FALSE), "")</x:f>
      </x:c>
      <x:c r="G130" s="17">
        <x:v>30</x:v>
      </x:c>
      <x:c r="H130" s="17" t="s">
        <x:v>64</x:v>
      </x:c>
      <x:c r="I130" s="17">
        <x:v>123</x:v>
      </x:c>
      <x:c r="J130" s="18" t="s">
        <x:v>331</x:v>
      </x:c>
      <x:c r="K130" s="18" t="s">
        <x:v>84</x:v>
      </x:c>
      <x:c r="L130" s="17" t="s">
        <x:v>121</x:v>
      </x:c>
      <x:c r="M130" s="17">
        <x:v>22</x:v>
      </x:c>
      <x:c r="N130" s="18">
        <x:f>IFERROR(VLOOKUP(G130, $A$5:$C$52, 3, FALSE), "")</x:f>
      </x:c>
      <x:c r="O130" s="18" t="s">
        <x:v>203</x:v>
      </x:c>
      <x:c r="P130" s="17" t="s">
        <x:v>203</x:v>
      </x:c>
    </x:row>
    <x:row r="131" spans="1:39">
      <x:c r="F131" s="18">
        <x:f>IFERROR(VLOOKUP(G131, $A$5:$B$52, 2, FALSE), "")</x:f>
      </x:c>
      <x:c r="G131" s="17">
        <x:v>31</x:v>
      </x:c>
      <x:c r="H131" s="17" t="s">
        <x:v>64</x:v>
      </x:c>
      <x:c r="I131" s="17">
        <x:v>124</x:v>
      </x:c>
      <x:c r="J131" s="18" t="s">
        <x:v>332</x:v>
      </x:c>
      <x:c r="K131" s="18" t="s">
        <x:v>84</x:v>
      </x:c>
      <x:c r="L131" s="17" t="s">
        <x:v>117</x:v>
      </x:c>
      <x:c r="M131" s="17">
        <x:v>23</x:v>
      </x:c>
      <x:c r="N131" s="18">
        <x:f>IFERROR(VLOOKUP(G131, $A$5:$C$52, 3, FALSE), "")</x:f>
      </x:c>
      <x:c r="O131" s="18" t="s">
        <x:v>203</x:v>
      </x:c>
      <x:c r="P131" s="17" t="s">
        <x:v>203</x:v>
      </x:c>
    </x:row>
    <x:row r="132" spans="1:39">
      <x:c r="F132" s="18">
        <x:f>IFERROR(VLOOKUP(G132, $A$5:$B$52, 2, FALSE), "")</x:f>
      </x:c>
      <x:c r="G132" s="17">
        <x:v>32</x:v>
      </x:c>
      <x:c r="H132" s="17" t="s">
        <x:v>64</x:v>
      </x:c>
      <x:c r="I132" s="17">
        <x:v>125</x:v>
      </x:c>
      <x:c r="J132" s="18" t="s">
        <x:v>333</x:v>
      </x:c>
      <x:c r="K132" s="18" t="s">
        <x:v>84</x:v>
      </x:c>
      <x:c r="L132" s="17" t="s">
        <x:v>120</x:v>
      </x:c>
      <x:c r="M132" s="17">
        <x:v>24</x:v>
      </x:c>
      <x:c r="N132" s="18">
        <x:f>IFERROR(VLOOKUP(G132, $A$5:$C$52, 3, FALSE), "")</x:f>
      </x:c>
      <x:c r="O132" s="18" t="s">
        <x:v>203</x:v>
      </x:c>
      <x:c r="P132" s="17" t="s">
        <x:v>203</x:v>
      </x:c>
    </x:row>
    <x:row r="133" spans="1:39">
      <x:c r="F133" s="18">
        <x:f>IFERROR(VLOOKUP(G133, $A$5:$B$52, 2, FALSE), "")</x:f>
      </x:c>
      <x:c r="G133" s="17">
        <x:v>32</x:v>
      </x:c>
      <x:c r="H133" s="17" t="s">
        <x:v>64</x:v>
      </x:c>
      <x:c r="I133" s="17">
        <x:v>126</x:v>
      </x:c>
      <x:c r="J133" s="18" t="s">
        <x:v>334</x:v>
      </x:c>
      <x:c r="K133" s="18" t="s">
        <x:v>322</x:v>
      </x:c>
      <x:c r="L133" s="17" t="s">
        <x:v>120</x:v>
      </x:c>
      <x:c r="M133" s="17">
        <x:v>25</x:v>
      </x:c>
      <x:c r="N133" s="18">
        <x:f>IFERROR(VLOOKUP(G133, $A$5:$C$52, 3, FALSE), "")</x:f>
      </x:c>
      <x:c r="O133" s="18" t="s">
        <x:v>203</x:v>
      </x:c>
      <x:c r="P133" s="17" t="s">
        <x:v>203</x:v>
      </x:c>
    </x:row>
    <x:row r="134" spans="1:39">
      <x:c r="F134" s="18">
        <x:f>IFERROR(VLOOKUP(G134, $A$5:$B$52, 2, FALSE), "")</x:f>
      </x:c>
      <x:c r="G134" s="17">
        <x:v>32</x:v>
      </x:c>
      <x:c r="H134" s="17" t="s">
        <x:v>64</x:v>
      </x:c>
      <x:c r="I134" s="17">
        <x:v>127</x:v>
      </x:c>
      <x:c r="J134" s="18" t="s">
        <x:v>335</x:v>
      </x:c>
      <x:c r="K134" s="18" t="s">
        <x:v>84</x:v>
      </x:c>
      <x:c r="L134" s="17" t="s">
        <x:v>122</x:v>
      </x:c>
      <x:c r="M134" s="17">
        <x:v>26</x:v>
      </x:c>
      <x:c r="N134" s="18">
        <x:f>IFERROR(VLOOKUP(G134, $A$5:$C$52, 3, FALSE), "")</x:f>
      </x:c>
      <x:c r="O134" s="18" t="s">
        <x:v>203</x:v>
      </x:c>
      <x:c r="P134" s="17" t="s">
        <x:v>203</x:v>
      </x:c>
    </x:row>
    <x:row r="135" spans="1:39">
      <x:c r="F135" s="18">
        <x:f>IFERROR(VLOOKUP(G135, $A$5:$B$52, 2, FALSE), "")</x:f>
      </x:c>
      <x:c r="G135" s="17">
        <x:v>33</x:v>
      </x:c>
      <x:c r="H135" s="17" t="s">
        <x:v>64</x:v>
      </x:c>
      <x:c r="I135" s="17">
        <x:v>128</x:v>
      </x:c>
      <x:c r="J135" s="18" t="s">
        <x:v>336</x:v>
      </x:c>
      <x:c r="K135" s="18" t="s">
        <x:v>84</x:v>
      </x:c>
      <x:c r="L135" s="17" t="s">
        <x:v>120</x:v>
      </x:c>
      <x:c r="M135" s="17">
        <x:v>27</x:v>
      </x:c>
      <x:c r="N135" s="18">
        <x:f>IFERROR(VLOOKUP(G135, $A$5:$C$52, 3, FALSE), "")</x:f>
      </x:c>
      <x:c r="O135" s="18" t="s">
        <x:v>203</x:v>
      </x:c>
      <x:c r="P135" s="17" t="s">
        <x:v>203</x:v>
      </x:c>
    </x:row>
    <x:row r="136" spans="1:39">
      <x:c r="F136" s="18">
        <x:f>IFERROR(VLOOKUP(G136, $A$5:$B$52, 2, FALSE), "")</x:f>
      </x:c>
      <x:c r="G136" s="17">
        <x:v>33</x:v>
      </x:c>
      <x:c r="H136" s="17" t="s">
        <x:v>64</x:v>
      </x:c>
      <x:c r="I136" s="17">
        <x:v>129</x:v>
      </x:c>
      <x:c r="J136" s="18" t="s">
        <x:v>337</x:v>
      </x:c>
      <x:c r="K136" s="18" t="s">
        <x:v>84</x:v>
      </x:c>
      <x:c r="L136" s="17" t="s">
        <x:v>122</x:v>
      </x:c>
      <x:c r="M136" s="17">
        <x:v>28</x:v>
      </x:c>
      <x:c r="N136" s="18">
        <x:f>IFERROR(VLOOKUP(G136, $A$5:$C$52, 3, FALSE), "")</x:f>
      </x:c>
      <x:c r="O136" s="18" t="s">
        <x:v>203</x:v>
      </x:c>
      <x:c r="P136" s="17" t="s">
        <x:v>203</x:v>
      </x:c>
    </x:row>
    <x:row r="137" spans="1:39">
      <x:c r="F137" s="18">
        <x:f>IFERROR(VLOOKUP(G137, $A$5:$B$52, 2, FALSE), "")</x:f>
      </x:c>
      <x:c r="G137" s="17">
        <x:v>33</x:v>
      </x:c>
      <x:c r="H137" s="17" t="s">
        <x:v>64</x:v>
      </x:c>
      <x:c r="I137" s="17">
        <x:v>130</x:v>
      </x:c>
      <x:c r="J137" s="18" t="s">
        <x:v>338</x:v>
      </x:c>
      <x:c r="K137" s="18" t="s">
        <x:v>115</x:v>
      </x:c>
      <x:c r="L137" s="17" t="s">
        <x:v>122</x:v>
      </x:c>
      <x:c r="M137" s="17">
        <x:v>29</x:v>
      </x:c>
      <x:c r="N137" s="18">
        <x:f>IFERROR(VLOOKUP(G137, $A$5:$C$52, 3, FALSE), "")</x:f>
      </x:c>
      <x:c r="O137" s="18" t="s">
        <x:v>203</x:v>
      </x:c>
      <x:c r="P137" s="17" t="s">
        <x:v>203</x:v>
      </x:c>
    </x:row>
    <x:row r="138" spans="1:39">
      <x:c r="F138" s="18">
        <x:f>IFERROR(VLOOKUP(G138, $A$5:$B$52, 2, FALSE), "")</x:f>
      </x:c>
      <x:c r="G138" s="17">
        <x:v>34</x:v>
      </x:c>
      <x:c r="H138" s="17" t="s">
        <x:v>64</x:v>
      </x:c>
      <x:c r="I138" s="17">
        <x:v>134</x:v>
      </x:c>
      <x:c r="J138" s="18" t="s">
        <x:v>339</x:v>
      </x:c>
      <x:c r="K138" s="18" t="s">
        <x:v>84</x:v>
      </x:c>
      <x:c r="L138" s="17" t="s">
        <x:v>117</x:v>
      </x:c>
      <x:c r="M138" s="17">
        <x:v>30</x:v>
      </x:c>
      <x:c r="N138" s="18">
        <x:f>IFERROR(VLOOKUP(G138, $A$5:$C$52, 3, FALSE), "")</x:f>
      </x:c>
      <x:c r="O138" s="18" t="s">
        <x:v>203</x:v>
      </x:c>
      <x:c r="P138" s="17" t="s">
        <x:v>203</x:v>
      </x:c>
    </x:row>
    <x:row r="139" spans="1:39">
      <x:c r="F139" s="18">
        <x:f>IFERROR(VLOOKUP(G139, $A$5:$B$52, 2, FALSE), "")</x:f>
      </x:c>
      <x:c r="G139" s="17">
        <x:v>34</x:v>
      </x:c>
      <x:c r="H139" s="17" t="s">
        <x:v>64</x:v>
      </x:c>
      <x:c r="I139" s="17">
        <x:v>135</x:v>
      </x:c>
      <x:c r="J139" s="18" t="s">
        <x:v>340</x:v>
      </x:c>
      <x:c r="K139" s="18" t="s">
        <x:v>322</x:v>
      </x:c>
      <x:c r="L139" s="17" t="s">
        <x:v>119</x:v>
      </x:c>
      <x:c r="M139" s="17">
        <x:v>31</x:v>
      </x:c>
      <x:c r="N139" s="18">
        <x:f>IFERROR(VLOOKUP(G139, $A$5:$C$52, 3, FALSE), "")</x:f>
      </x:c>
      <x:c r="O139" s="18" t="s">
        <x:v>203</x:v>
      </x:c>
      <x:c r="P139" s="17" t="s">
        <x:v>203</x:v>
      </x:c>
    </x:row>
    <x:row r="140" spans="1:39">
      <x:c r="F140" s="18">
        <x:f>IFERROR(VLOOKUP(G140, $A$5:$B$52, 2, FALSE), "")</x:f>
      </x:c>
      <x:c r="G140" s="17">
        <x:v>35</x:v>
      </x:c>
      <x:c r="H140" s="17" t="s">
        <x:v>64</x:v>
      </x:c>
      <x:c r="I140" s="17">
        <x:v>136</x:v>
      </x:c>
      <x:c r="J140" s="18" t="s">
        <x:v>341</x:v>
      </x:c>
      <x:c r="K140" s="18" t="s">
        <x:v>84</x:v>
      </x:c>
      <x:c r="L140" s="17" t="s">
        <x:v>120</x:v>
      </x:c>
      <x:c r="M140" s="17">
        <x:v>32</x:v>
      </x:c>
      <x:c r="N140" s="18">
        <x:f>IFERROR(VLOOKUP(G140, $A$5:$C$52, 3, FALSE), "")</x:f>
      </x:c>
      <x:c r="O140" s="18" t="s">
        <x:v>203</x:v>
      </x:c>
      <x:c r="P140" s="17" t="s">
        <x:v>203</x:v>
      </x:c>
    </x:row>
    <x:row r="141" spans="1:39">
      <x:c r="F141" s="18">
        <x:f>IFERROR(VLOOKUP(G141, $A$5:$B$52, 2, FALSE), "")</x:f>
      </x:c>
      <x:c r="G141" s="17">
        <x:v>35</x:v>
      </x:c>
      <x:c r="H141" s="17" t="s">
        <x:v>64</x:v>
      </x:c>
      <x:c r="I141" s="17">
        <x:v>137</x:v>
      </x:c>
      <x:c r="J141" s="18" t="s">
        <x:v>342</x:v>
      </x:c>
      <x:c r="K141" s="18" t="s">
        <x:v>76</x:v>
      </x:c>
      <x:c r="L141" s="17" t="s">
        <x:v>120</x:v>
      </x:c>
      <x:c r="M141" s="17">
        <x:v>33</x:v>
      </x:c>
      <x:c r="N141" s="18">
        <x:f>IFERROR(VLOOKUP(G141, $A$5:$C$52, 3, FALSE), "")</x:f>
      </x:c>
      <x:c r="O141" s="18" t="s">
        <x:v>203</x:v>
      </x:c>
      <x:c r="P141" s="17" t="s">
        <x:v>203</x:v>
      </x:c>
    </x:row>
    <x:row r="142" spans="1:39">
      <x:c r="F142" s="18">
        <x:f>IFERROR(VLOOKUP(G142, $A$5:$B$52, 2, FALSE), "")</x:f>
      </x:c>
      <x:c r="G142" s="17">
        <x:v>35</x:v>
      </x:c>
      <x:c r="H142" s="17" t="s">
        <x:v>64</x:v>
      </x:c>
      <x:c r="I142" s="17">
        <x:v>138</x:v>
      </x:c>
      <x:c r="J142" s="18" t="s">
        <x:v>343</x:v>
      </x:c>
      <x:c r="K142" s="18" t="s">
        <x:v>115</x:v>
      </x:c>
      <x:c r="L142" s="17" t="s">
        <x:v>120</x:v>
      </x:c>
      <x:c r="M142" s="17">
        <x:v>34</x:v>
      </x:c>
      <x:c r="N142" s="18">
        <x:f>IFERROR(VLOOKUP(G142, $A$5:$C$52, 3, FALSE), "")</x:f>
      </x:c>
      <x:c r="O142" s="18" t="s">
        <x:v>203</x:v>
      </x:c>
      <x:c r="P142" s="17" t="s">
        <x:v>203</x:v>
      </x:c>
    </x:row>
    <x:row r="143" spans="1:39">
      <x:c r="F143" s="18">
        <x:f>IFERROR(VLOOKUP(G143, $A$5:$B$52, 2, FALSE), "")</x:f>
      </x:c>
      <x:c r="G143" s="17">
        <x:v>35</x:v>
      </x:c>
      <x:c r="H143" s="17" t="s">
        <x:v>64</x:v>
      </x:c>
      <x:c r="I143" s="17">
        <x:v>139</x:v>
      </x:c>
      <x:c r="J143" s="18" t="s">
        <x:v>344</x:v>
      </x:c>
      <x:c r="K143" s="18" t="s">
        <x:v>84</x:v>
      </x:c>
      <x:c r="L143" s="17" t="s">
        <x:v>122</x:v>
      </x:c>
      <x:c r="M143" s="17">
        <x:v>35</x:v>
      </x:c>
      <x:c r="N143" s="18">
        <x:f>IFERROR(VLOOKUP(G143, $A$5:$C$52, 3, FALSE), "")</x:f>
      </x:c>
      <x:c r="O143" s="18" t="s">
        <x:v>203</x:v>
      </x:c>
      <x:c r="P143" s="17" t="s">
        <x:v>203</x:v>
      </x:c>
    </x:row>
    <x:row r="144" spans="1:39">
      <x:c r="F144" s="18">
        <x:f>IFERROR(VLOOKUP(G144, $A$5:$B$52, 2, FALSE), "")</x:f>
      </x:c>
      <x:c r="G144" s="17">
        <x:v>36</x:v>
      </x:c>
      <x:c r="H144" s="17" t="s">
        <x:v>64</x:v>
      </x:c>
      <x:c r="I144" s="17">
        <x:v>140</x:v>
      </x:c>
      <x:c r="J144" s="18" t="s">
        <x:v>345</x:v>
      </x:c>
      <x:c r="K144" s="18" t="s">
        <x:v>84</x:v>
      </x:c>
      <x:c r="L144" s="17" t="s">
        <x:v>121</x:v>
      </x:c>
      <x:c r="M144" s="17">
        <x:v>36</x:v>
      </x:c>
      <x:c r="N144" s="18">
        <x:f>IFERROR(VLOOKUP(G144, $A$5:$C$52, 3, FALSE), "")</x:f>
      </x:c>
      <x:c r="O144" s="18" t="s">
        <x:v>203</x:v>
      </x:c>
      <x:c r="P144" s="17" t="s">
        <x:v>203</x:v>
      </x:c>
    </x:row>
    <x:row r="145" spans="1:39">
      <x:c r="F145" s="18">
        <x:f>IFERROR(VLOOKUP(G145, $A$5:$B$52, 2, FALSE), "")</x:f>
      </x:c>
      <x:c r="G145" s="17">
        <x:v>36</x:v>
      </x:c>
      <x:c r="H145" s="17" t="s">
        <x:v>64</x:v>
      </x:c>
      <x:c r="I145" s="17">
        <x:v>141</x:v>
      </x:c>
      <x:c r="J145" s="18" t="s">
        <x:v>346</x:v>
      </x:c>
      <x:c r="K145" s="18" t="s">
        <x:v>116</x:v>
      </x:c>
      <x:c r="L145" s="17" t="s">
        <x:v>121</x:v>
      </x:c>
      <x:c r="M145" s="17">
        <x:v>37</x:v>
      </x:c>
      <x:c r="N145" s="18">
        <x:f>IFERROR(VLOOKUP(G145, $A$5:$C$52, 3, FALSE), "")</x:f>
      </x:c>
      <x:c r="O145" s="18" t="s">
        <x:v>203</x:v>
      </x:c>
      <x:c r="P145" s="17" t="s">
        <x:v>203</x:v>
      </x:c>
    </x:row>
    <x:row r="146" spans="1:39">
      <x:c r="F146" s="18">
        <x:f>IFERROR(VLOOKUP(G146, $A$5:$B$52, 2, FALSE), "")</x:f>
      </x:c>
      <x:c r="G146" s="17">
        <x:v>36</x:v>
      </x:c>
      <x:c r="H146" s="17" t="s">
        <x:v>64</x:v>
      </x:c>
      <x:c r="I146" s="17">
        <x:v>142</x:v>
      </x:c>
      <x:c r="J146" s="18" t="s">
        <x:v>347</x:v>
      </x:c>
      <x:c r="K146" s="18" t="s">
        <x:v>84</x:v>
      </x:c>
      <x:c r="L146" s="17" t="s">
        <x:v>122</x:v>
      </x:c>
      <x:c r="M146" s="17">
        <x:v>38</x:v>
      </x:c>
      <x:c r="N146" s="18">
        <x:f>IFERROR(VLOOKUP(G146, $A$5:$C$52, 3, FALSE), "")</x:f>
      </x:c>
      <x:c r="O146" s="18" t="s">
        <x:v>203</x:v>
      </x:c>
      <x:c r="P146" s="17" t="s">
        <x:v>203</x:v>
      </x:c>
    </x:row>
    <x:row r="147" spans="1:39">
      <x:c r="F147" s="18">
        <x:f>IFERROR(VLOOKUP(G147, $A$5:$B$52, 2, FALSE), "")</x:f>
      </x:c>
      <x:c r="G147" s="17">
        <x:v>37</x:v>
      </x:c>
      <x:c r="H147" s="17" t="s">
        <x:v>64</x:v>
      </x:c>
      <x:c r="I147" s="17">
        <x:v>143</x:v>
      </x:c>
      <x:c r="J147" s="18" t="s">
        <x:v>348</x:v>
      </x:c>
      <x:c r="K147" s="18" t="s">
        <x:v>84</x:v>
      </x:c>
      <x:c r="L147" s="17" t="s">
        <x:v>117</x:v>
      </x:c>
      <x:c r="M147" s="17">
        <x:v>39</x:v>
      </x:c>
      <x:c r="N147" s="18">
        <x:f>IFERROR(VLOOKUP(G147, $A$5:$C$52, 3, FALSE), "")</x:f>
      </x:c>
      <x:c r="O147" s="18" t="s">
        <x:v>203</x:v>
      </x:c>
      <x:c r="P147" s="17" t="s">
        <x:v>203</x:v>
      </x:c>
    </x:row>
    <x:row r="148" spans="1:39">
      <x:c r="F148" s="18">
        <x:f>IFERROR(VLOOKUP(G148, $A$5:$B$52, 2, FALSE), "")</x:f>
      </x:c>
      <x:c r="G148" s="17">
        <x:v>37</x:v>
      </x:c>
      <x:c r="H148" s="17" t="s">
        <x:v>64</x:v>
      </x:c>
      <x:c r="I148" s="17">
        <x:v>144</x:v>
      </x:c>
      <x:c r="J148" s="18" t="s">
        <x:v>349</x:v>
      </x:c>
      <x:c r="K148" s="18" t="s">
        <x:v>76</x:v>
      </x:c>
      <x:c r="L148" s="17" t="s">
        <x:v>117</x:v>
      </x:c>
      <x:c r="M148" s="17">
        <x:v>40</x:v>
      </x:c>
      <x:c r="N148" s="18">
        <x:f>IFERROR(VLOOKUP(G148, $A$5:$C$52, 3, FALSE), "")</x:f>
      </x:c>
      <x:c r="O148" s="18" t="s">
        <x:v>203</x:v>
      </x:c>
      <x:c r="P148" s="17" t="s">
        <x:v>203</x:v>
      </x:c>
    </x:row>
    <x:row r="149" spans="1:39">
      <x:c r="F149" s="18">
        <x:f>IFERROR(VLOOKUP(G149, $A$5:$B$52, 2, FALSE), "")</x:f>
      </x:c>
      <x:c r="G149" s="17">
        <x:v>37</x:v>
      </x:c>
      <x:c r="H149" s="17" t="s">
        <x:v>64</x:v>
      </x:c>
      <x:c r="I149" s="17">
        <x:v>145</x:v>
      </x:c>
      <x:c r="J149" s="18" t="s">
        <x:v>350</x:v>
      </x:c>
      <x:c r="K149" s="18" t="s">
        <x:v>84</x:v>
      </x:c>
      <x:c r="L149" s="17" t="s">
        <x:v>119</x:v>
      </x:c>
      <x:c r="M149" s="17">
        <x:v>41</x:v>
      </x:c>
      <x:c r="N149" s="18">
        <x:f>IFERROR(VLOOKUP(G149, $A$5:$C$52, 3, FALSE), "")</x:f>
      </x:c>
      <x:c r="O149" s="18" t="s">
        <x:v>203</x:v>
      </x:c>
      <x:c r="P149" s="17" t="s">
        <x:v>203</x:v>
      </x:c>
    </x:row>
    <x:row r="150" spans="1:39">
      <x:c r="F150" s="18">
        <x:f>IFERROR(VLOOKUP(G150, $A$5:$B$52, 2, FALSE), "")</x:f>
      </x:c>
      <x:c r="G150" s="17">
        <x:v>37</x:v>
      </x:c>
      <x:c r="H150" s="17" t="s">
        <x:v>64</x:v>
      </x:c>
      <x:c r="I150" s="17">
        <x:v>146</x:v>
      </x:c>
      <x:c r="J150" s="18" t="s">
        <x:v>351</x:v>
      </x:c>
      <x:c r="K150" s="18" t="s">
        <x:v>115</x:v>
      </x:c>
      <x:c r="L150" s="17" t="s">
        <x:v>119</x:v>
      </x:c>
      <x:c r="M150" s="17">
        <x:v>42</x:v>
      </x:c>
      <x:c r="N150" s="18">
        <x:f>IFERROR(VLOOKUP(G150, $A$5:$C$52, 3, FALSE), "")</x:f>
      </x:c>
      <x:c r="O150" s="18" t="s">
        <x:v>203</x:v>
      </x:c>
      <x:c r="P150" s="17" t="s">
        <x:v>203</x:v>
      </x:c>
    </x:row>
    <x:row r="151" spans="1:39">
      <x:c r="F151" s="18">
        <x:f>IFERROR(VLOOKUP(G151, $A$5:$B$52, 2, FALSE), "")</x:f>
      </x:c>
      <x:c r="G151" s="17">
        <x:v>38</x:v>
      </x:c>
      <x:c r="H151" s="17" t="s">
        <x:v>64</x:v>
      </x:c>
      <x:c r="I151" s="17">
        <x:v>147</x:v>
      </x:c>
      <x:c r="J151" s="18" t="s">
        <x:v>352</x:v>
      </x:c>
      <x:c r="K151" s="18" t="s">
        <x:v>84</x:v>
      </x:c>
      <x:c r="L151" s="17" t="s">
        <x:v>121</x:v>
      </x:c>
      <x:c r="M151" s="17">
        <x:v>43</x:v>
      </x:c>
      <x:c r="N151" s="18">
        <x:f>IFERROR(VLOOKUP(G151, $A$5:$C$52, 3, FALSE), "")</x:f>
      </x:c>
      <x:c r="O151" s="18" t="s">
        <x:v>203</x:v>
      </x:c>
      <x:c r="P151" s="17" t="s">
        <x:v>203</x:v>
      </x:c>
    </x:row>
    <x:row r="152" spans="1:39">
      <x:c r="F152" s="18">
        <x:f>IFERROR(VLOOKUP(G152, $A$5:$B$52, 2, FALSE), "")</x:f>
      </x:c>
      <x:c r="G152" s="17">
        <x:v>38</x:v>
      </x:c>
      <x:c r="H152" s="17" t="s">
        <x:v>64</x:v>
      </x:c>
      <x:c r="I152" s="17">
        <x:v>148</x:v>
      </x:c>
      <x:c r="J152" s="18" t="s">
        <x:v>353</x:v>
      </x:c>
      <x:c r="K152" s="18" t="s">
        <x:v>322</x:v>
      </x:c>
      <x:c r="L152" s="17" t="s">
        <x:v>121</x:v>
      </x:c>
      <x:c r="M152" s="17">
        <x:v>44</x:v>
      </x:c>
      <x:c r="N152" s="18">
        <x:f>IFERROR(VLOOKUP(G152, $A$5:$C$52, 3, FALSE), "")</x:f>
      </x:c>
      <x:c r="O152" s="18" t="s">
        <x:v>203</x:v>
      </x:c>
      <x:c r="P152" s="17" t="s">
        <x:v>203</x:v>
      </x:c>
    </x:row>
    <x:row r="153" spans="1:39">
      <x:c r="F153" s="18">
        <x:f>IFERROR(VLOOKUP(G153, $A$5:$B$52, 2, FALSE), "")</x:f>
      </x:c>
      <x:c r="G153" s="17">
        <x:v>38</x:v>
      </x:c>
      <x:c r="H153" s="17" t="s">
        <x:v>64</x:v>
      </x:c>
      <x:c r="I153" s="17">
        <x:v>149</x:v>
      </x:c>
      <x:c r="J153" s="18" t="s">
        <x:v>354</x:v>
      </x:c>
      <x:c r="K153" s="18" t="s">
        <x:v>84</x:v>
      </x:c>
      <x:c r="L153" s="17" t="s">
        <x:v>122</x:v>
      </x:c>
      <x:c r="M153" s="17">
        <x:v>45</x:v>
      </x:c>
      <x:c r="N153" s="18">
        <x:f>IFERROR(VLOOKUP(G153, $A$5:$C$52, 3, FALSE), "")</x:f>
      </x:c>
      <x:c r="O153" s="18" t="s">
        <x:v>203</x:v>
      </x:c>
      <x:c r="P153" s="17" t="s">
        <x:v>203</x:v>
      </x:c>
    </x:row>
    <x:row r="154" spans="1:39">
      <x:c r="F154" s="18">
        <x:f>IFERROR(VLOOKUP(G154, $A$5:$B$52, 2, FALSE), "")</x:f>
      </x:c>
      <x:c r="G154" s="17">
        <x:v>38</x:v>
      </x:c>
      <x:c r="H154" s="17" t="s">
        <x:v>64</x:v>
      </x:c>
      <x:c r="I154" s="17">
        <x:v>150</x:v>
      </x:c>
      <x:c r="J154" s="18" t="s">
        <x:v>355</x:v>
      </x:c>
      <x:c r="K154" s="18" t="s">
        <x:v>116</x:v>
      </x:c>
      <x:c r="L154" s="17" t="s">
        <x:v>122</x:v>
      </x:c>
      <x:c r="M154" s="17">
        <x:v>46</x:v>
      </x:c>
      <x:c r="N154" s="18">
        <x:f>IFERROR(VLOOKUP(G154, $A$5:$C$52, 3, FALSE), "")</x:f>
      </x:c>
      <x:c r="O154" s="18" t="s">
        <x:v>203</x:v>
      </x:c>
      <x:c r="P154" s="17" t="s">
        <x:v>203</x:v>
      </x:c>
    </x:row>
    <x:row r="155" spans="1:39">
      <x:c r="F155" s="18">
        <x:f>IFERROR(VLOOKUP(G155, $A$5:$B$52, 2, FALSE), "")</x:f>
      </x:c>
      <x:c r="G155" s="17">
        <x:v>39</x:v>
      </x:c>
      <x:c r="H155" s="17" t="s">
        <x:v>64</x:v>
      </x:c>
      <x:c r="I155" s="17">
        <x:v>151</x:v>
      </x:c>
      <x:c r="J155" s="18" t="s">
        <x:v>356</x:v>
      </x:c>
      <x:c r="K155" s="18" t="s">
        <x:v>84</x:v>
      </x:c>
      <x:c r="L155" s="17" t="s">
        <x:v>117</x:v>
      </x:c>
      <x:c r="M155" s="17">
        <x:v>47</x:v>
      </x:c>
      <x:c r="N155" s="18">
        <x:f>IFERROR(VLOOKUP(G155, $A$5:$C$52, 3, FALSE), "")</x:f>
      </x:c>
      <x:c r="O155" s="18" t="s">
        <x:v>203</x:v>
      </x:c>
      <x:c r="P155" s="17" t="s">
        <x:v>203</x:v>
      </x:c>
    </x:row>
    <x:row r="156" spans="1:39">
      <x:c r="F156" s="18">
        <x:f>IFERROR(VLOOKUP(G156, $A$5:$B$52, 2, FALSE), "")</x:f>
      </x:c>
      <x:c r="G156" s="17">
        <x:v>39</x:v>
      </x:c>
      <x:c r="H156" s="17" t="s">
        <x:v>64</x:v>
      </x:c>
      <x:c r="I156" s="17">
        <x:v>152</x:v>
      </x:c>
      <x:c r="J156" s="18" t="s">
        <x:v>357</x:v>
      </x:c>
      <x:c r="K156" s="18" t="s">
        <x:v>84</x:v>
      </x:c>
      <x:c r="L156" s="17" t="s">
        <x:v>118</x:v>
      </x:c>
      <x:c r="M156" s="17">
        <x:v>48</x:v>
      </x:c>
      <x:c r="N156" s="18">
        <x:f>IFERROR(VLOOKUP(G156, $A$5:$C$52, 3, FALSE), "")</x:f>
      </x:c>
      <x:c r="O156" s="18" t="s">
        <x:v>203</x:v>
      </x:c>
      <x:c r="P156" s="17" t="s">
        <x:v>203</x:v>
      </x:c>
    </x:row>
    <x:row r="157" spans="1:39">
      <x:c r="F157" s="18">
        <x:f>IFERROR(VLOOKUP(G157, $A$5:$B$52, 2, FALSE), "")</x:f>
      </x:c>
      <x:c r="G157" s="17">
        <x:v>39</x:v>
      </x:c>
      <x:c r="H157" s="17" t="s">
        <x:v>64</x:v>
      </x:c>
      <x:c r="I157" s="17">
        <x:v>153</x:v>
      </x:c>
      <x:c r="J157" s="18" t="s">
        <x:v>358</x:v>
      </x:c>
      <x:c r="K157" s="18" t="s">
        <x:v>115</x:v>
      </x:c>
      <x:c r="L157" s="17" t="s">
        <x:v>118</x:v>
      </x:c>
      <x:c r="M157" s="17">
        <x:v>49</x:v>
      </x:c>
      <x:c r="N157" s="18">
        <x:f>IFERROR(VLOOKUP(G157, $A$5:$C$52, 3, FALSE), "")</x:f>
      </x:c>
      <x:c r="O157" s="18" t="s">
        <x:v>203</x:v>
      </x:c>
      <x:c r="P157" s="17" t="s">
        <x:v>203</x:v>
      </x:c>
    </x:row>
    <x:row r="158" spans="1:39">
      <x:c r="F158" s="18">
        <x:f>IFERROR(VLOOKUP(G158, $A$5:$B$52, 2, FALSE), "")</x:f>
      </x:c>
      <x:c r="G158" s="17">
        <x:v>39</x:v>
      </x:c>
      <x:c r="H158" s="17" t="s">
        <x:v>64</x:v>
      </x:c>
      <x:c r="I158" s="17">
        <x:v>154</x:v>
      </x:c>
      <x:c r="J158" s="18" t="s">
        <x:v>359</x:v>
      </x:c>
      <x:c r="K158" s="18" t="s">
        <x:v>76</x:v>
      </x:c>
      <x:c r="L158" s="17" t="s">
        <x:v>118</x:v>
      </x:c>
      <x:c r="M158" s="17">
        <x:v>50</x:v>
      </x:c>
      <x:c r="N158" s="18">
        <x:f>IFERROR(VLOOKUP(G158, $A$5:$C$52, 3, FALSE), "")</x:f>
      </x:c>
      <x:c r="O158" s="18" t="s">
        <x:v>203</x:v>
      </x:c>
      <x:c r="P158" s="17" t="s">
        <x:v>203</x:v>
      </x:c>
    </x:row>
    <x:row r="159" spans="1:39">
      <x:c r="F159" s="18">
        <x:f>IFERROR(VLOOKUP(G159, $A$5:$B$52, 2, FALSE), "")</x:f>
      </x:c>
      <x:c r="G159" s="17">
        <x:v>40</x:v>
      </x:c>
      <x:c r="H159" s="17" t="s">
        <x:v>64</x:v>
      </x:c>
      <x:c r="I159" s="17">
        <x:v>155</x:v>
      </x:c>
      <x:c r="J159" s="18" t="s">
        <x:v>360</x:v>
      </x:c>
      <x:c r="K159" s="18" t="s">
        <x:v>84</x:v>
      </x:c>
      <x:c r="L159" s="17" t="s">
        <x:v>120</x:v>
      </x:c>
      <x:c r="M159" s="17">
        <x:v>51</x:v>
      </x:c>
      <x:c r="N159" s="18">
        <x:f>IFERROR(VLOOKUP(G159, $A$5:$C$52, 3, FALSE), "")</x:f>
      </x:c>
      <x:c r="O159" s="18" t="s">
        <x:v>203</x:v>
      </x:c>
      <x:c r="P159" s="17" t="s">
        <x:v>203</x:v>
      </x:c>
    </x:row>
    <x:row r="160" spans="1:39">
      <x:c r="F160" s="18">
        <x:f>IFERROR(VLOOKUP(G160, $A$5:$B$52, 2, FALSE), "")</x:f>
      </x:c>
      <x:c r="G160" s="17">
        <x:v>40</x:v>
      </x:c>
      <x:c r="H160" s="17" t="s">
        <x:v>64</x:v>
      </x:c>
      <x:c r="I160" s="17">
        <x:v>156</x:v>
      </x:c>
      <x:c r="J160" s="18" t="s">
        <x:v>361</x:v>
      </x:c>
      <x:c r="K160" s="18" t="s">
        <x:v>84</x:v>
      </x:c>
      <x:c r="L160" s="17" t="s">
        <x:v>121</x:v>
      </x:c>
      <x:c r="M160" s="17">
        <x:v>52</x:v>
      </x:c>
      <x:c r="N160" s="18">
        <x:f>IFERROR(VLOOKUP(G160, $A$5:$C$52, 3, FALSE), "")</x:f>
      </x:c>
      <x:c r="O160" s="18" t="s">
        <x:v>203</x:v>
      </x:c>
      <x:c r="P160" s="17" t="s">
        <x:v>203</x:v>
      </x:c>
    </x:row>
    <x:row r="161" spans="1:39">
      <x:c r="F161" s="18">
        <x:f>IFERROR(VLOOKUP(G161, $A$5:$B$52, 2, FALSE), "")</x:f>
      </x:c>
      <x:c r="G161" s="17">
        <x:v>40</x:v>
      </x:c>
      <x:c r="H161" s="17" t="s">
        <x:v>64</x:v>
      </x:c>
      <x:c r="I161" s="17">
        <x:v>157</x:v>
      </x:c>
      <x:c r="J161" s="18" t="s">
        <x:v>362</x:v>
      </x:c>
      <x:c r="K161" s="18" t="s">
        <x:v>116</x:v>
      </x:c>
      <x:c r="L161" s="17" t="s">
        <x:v>121</x:v>
      </x:c>
      <x:c r="M161" s="17">
        <x:v>53</x:v>
      </x:c>
      <x:c r="N161" s="18">
        <x:f>IFERROR(VLOOKUP(G161, $A$5:$C$52, 3, FALSE), "")</x:f>
      </x:c>
      <x:c r="O161" s="18" t="s">
        <x:v>203</x:v>
      </x:c>
      <x:c r="P161" s="17" t="s">
        <x:v>203</x:v>
      </x:c>
    </x:row>
    <x:row r="162" spans="1:39">
      <x:c r="F162" s="18">
        <x:f>IFERROR(VLOOKUP(G162, $A$5:$B$52, 2, FALSE), "")</x:f>
      </x:c>
      <x:c r="G162" s="17">
        <x:v>40</x:v>
      </x:c>
      <x:c r="H162" s="17" t="s">
        <x:v>64</x:v>
      </x:c>
      <x:c r="I162" s="17">
        <x:v>158</x:v>
      </x:c>
      <x:c r="J162" s="18" t="s">
        <x:v>363</x:v>
      </x:c>
      <x:c r="K162" s="18" t="s">
        <x:v>322</x:v>
      </x:c>
      <x:c r="L162" s="17" t="s">
        <x:v>121</x:v>
      </x:c>
      <x:c r="M162" s="17">
        <x:v>54</x:v>
      </x:c>
      <x:c r="N162" s="18">
        <x:f>IFERROR(VLOOKUP(G162, $A$5:$C$52, 3, FALSE), "")</x:f>
      </x:c>
      <x:c r="O162" s="18" t="s">
        <x:v>203</x:v>
      </x:c>
      <x:c r="P162" s="17" t="s">
        <x:v>203</x:v>
      </x:c>
    </x:row>
    <x:row r="163" spans="1:39">
      <x:c r="F163" s="18">
        <x:f>IFERROR(VLOOKUP(G163, $A$5:$B$52, 2, FALSE), "")</x:f>
      </x:c>
      <x:c r="G163" s="17">
        <x:v>41</x:v>
      </x:c>
      <x:c r="H163" s="17" t="s">
        <x:v>64</x:v>
      </x:c>
      <x:c r="I163" s="17">
        <x:v>159</x:v>
      </x:c>
      <x:c r="J163" s="18" t="s">
        <x:v>364</x:v>
      </x:c>
      <x:c r="K163" s="18" t="s">
        <x:v>84</x:v>
      </x:c>
      <x:c r="L163" s="17" t="s">
        <x:v>117</x:v>
      </x:c>
      <x:c r="M163" s="17">
        <x:v>55</x:v>
      </x:c>
      <x:c r="N163" s="18">
        <x:f>IFERROR(VLOOKUP(G163, $A$5:$C$52, 3, FALSE), "")</x:f>
      </x:c>
      <x:c r="O163" s="18" t="s">
        <x:v>203</x:v>
      </x:c>
      <x:c r="P163" s="17" t="s">
        <x:v>203</x:v>
      </x:c>
    </x:row>
    <x:row r="164" spans="1:39">
      <x:c r="F164" s="18">
        <x:f>IFERROR(VLOOKUP(G164, $A$5:$B$52, 2, FALSE), "")</x:f>
      </x:c>
      <x:c r="G164" s="17">
        <x:v>41</x:v>
      </x:c>
      <x:c r="H164" s="17" t="s">
        <x:v>64</x:v>
      </x:c>
      <x:c r="I164" s="17">
        <x:v>160</x:v>
      </x:c>
      <x:c r="J164" s="18" t="s">
        <x:v>365</x:v>
      </x:c>
      <x:c r="K164" s="18" t="s">
        <x:v>322</x:v>
      </x:c>
      <x:c r="L164" s="17" t="s">
        <x:v>117</x:v>
      </x:c>
      <x:c r="M164" s="17">
        <x:v>56</x:v>
      </x:c>
      <x:c r="N164" s="18">
        <x:f>IFERROR(VLOOKUP(G164, $A$5:$C$52, 3, FALSE), "")</x:f>
      </x:c>
      <x:c r="O164" s="18" t="s">
        <x:v>203</x:v>
      </x:c>
      <x:c r="P164" s="17" t="s">
        <x:v>203</x:v>
      </x:c>
    </x:row>
    <x:row r="165" spans="1:39">
      <x:c r="F165" s="18">
        <x:f>IFERROR(VLOOKUP(G165, $A$5:$B$52, 2, FALSE), "")</x:f>
      </x:c>
      <x:c r="G165" s="17">
        <x:v>41</x:v>
      </x:c>
      <x:c r="H165" s="17" t="s">
        <x:v>64</x:v>
      </x:c>
      <x:c r="I165" s="17">
        <x:v>161</x:v>
      </x:c>
      <x:c r="J165" s="18" t="s">
        <x:v>366</x:v>
      </x:c>
      <x:c r="K165" s="18" t="s">
        <x:v>116</x:v>
      </x:c>
      <x:c r="L165" s="17" t="s">
        <x:v>117</x:v>
      </x:c>
      <x:c r="M165" s="17">
        <x:v>57</x:v>
      </x:c>
      <x:c r="N165" s="18">
        <x:f>IFERROR(VLOOKUP(G165, $A$5:$C$52, 3, FALSE), "")</x:f>
      </x:c>
      <x:c r="O165" s="18" t="s">
        <x:v>203</x:v>
      </x:c>
      <x:c r="P165" s="17" t="s">
        <x:v>203</x:v>
      </x:c>
    </x:row>
    <x:row r="166" spans="1:39">
      <x:c r="F166" s="18">
        <x:f>IFERROR(VLOOKUP(G166, $A$5:$B$52, 2, FALSE), "")</x:f>
      </x:c>
      <x:c r="G166" s="17">
        <x:v>41</x:v>
      </x:c>
      <x:c r="H166" s="17" t="s">
        <x:v>64</x:v>
      </x:c>
      <x:c r="I166" s="17">
        <x:v>162</x:v>
      </x:c>
      <x:c r="J166" s="18" t="s">
        <x:v>367</x:v>
      </x:c>
      <x:c r="K166" s="18" t="s">
        <x:v>84</x:v>
      </x:c>
      <x:c r="L166" s="17" t="s">
        <x:v>119</x:v>
      </x:c>
      <x:c r="M166" s="17">
        <x:v>58</x:v>
      </x:c>
      <x:c r="N166" s="18">
        <x:f>IFERROR(VLOOKUP(G166, $A$5:$C$52, 3, FALSE), "")</x:f>
      </x:c>
      <x:c r="O166" s="18" t="s">
        <x:v>203</x:v>
      </x:c>
      <x:c r="P166" s="17" t="s">
        <x:v>203</x:v>
      </x:c>
    </x:row>
    <x:row r="167" spans="1:39">
      <x:c r="F167" s="18">
        <x:f>IFERROR(VLOOKUP(G167, $A$5:$B$52, 2, FALSE), "")</x:f>
      </x:c>
      <x:c r="G167" s="17">
        <x:v>41</x:v>
      </x:c>
      <x:c r="H167" s="17" t="s">
        <x:v>64</x:v>
      </x:c>
      <x:c r="I167" s="17">
        <x:v>163</x:v>
      </x:c>
      <x:c r="J167" s="18" t="s">
        <x:v>368</x:v>
      </x:c>
      <x:c r="K167" s="18" t="s">
        <x:v>76</x:v>
      </x:c>
      <x:c r="L167" s="17" t="s">
        <x:v>119</x:v>
      </x:c>
      <x:c r="M167" s="17">
        <x:v>59</x:v>
      </x:c>
      <x:c r="N167" s="18">
        <x:f>IFERROR(VLOOKUP(G167, $A$5:$C$52, 3, FALSE), "")</x:f>
      </x:c>
      <x:c r="O167" s="18" t="s">
        <x:v>203</x:v>
      </x:c>
      <x:c r="P167" s="17" t="s">
        <x:v>203</x:v>
      </x:c>
    </x:row>
    <x:row r="168" spans="1:39">
      <x:c r="F168" s="18">
        <x:f>IFERROR(VLOOKUP(G168, $A$5:$B$52, 2, FALSE), "")</x:f>
      </x:c>
      <x:c r="G168" s="17">
        <x:v>42</x:v>
      </x:c>
      <x:c r="H168" s="17" t="s">
        <x:v>64</x:v>
      </x:c>
      <x:c r="I168" s="17">
        <x:v>164</x:v>
      </x:c>
      <x:c r="J168" s="18" t="s">
        <x:v>369</x:v>
      </x:c>
      <x:c r="K168" s="18" t="s">
        <x:v>84</x:v>
      </x:c>
      <x:c r="L168" s="17" t="s">
        <x:v>120</x:v>
      </x:c>
      <x:c r="M168" s="17">
        <x:v>60</x:v>
      </x:c>
      <x:c r="N168" s="18">
        <x:f>IFERROR(VLOOKUP(G168, $A$5:$C$52, 3, FALSE), "")</x:f>
      </x:c>
      <x:c r="O168" s="18" t="s">
        <x:v>203</x:v>
      </x:c>
      <x:c r="P168" s="17" t="s">
        <x:v>203</x:v>
      </x:c>
    </x:row>
    <x:row r="169" spans="1:39">
      <x:c r="F169" s="18">
        <x:f>IFERROR(VLOOKUP(G169, $A$5:$B$52, 2, FALSE), "")</x:f>
      </x:c>
      <x:c r="G169" s="17">
        <x:v>42</x:v>
      </x:c>
      <x:c r="H169" s="17" t="s">
        <x:v>64</x:v>
      </x:c>
      <x:c r="I169" s="17">
        <x:v>165</x:v>
      </x:c>
      <x:c r="J169" s="18" t="s">
        <x:v>370</x:v>
      </x:c>
      <x:c r="K169" s="18" t="s">
        <x:v>84</x:v>
      </x:c>
      <x:c r="L169" s="17" t="s">
        <x:v>122</x:v>
      </x:c>
      <x:c r="M169" s="17">
        <x:v>61</x:v>
      </x:c>
      <x:c r="N169" s="18">
        <x:f>IFERROR(VLOOKUP(G169, $A$5:$C$52, 3, FALSE), "")</x:f>
      </x:c>
      <x:c r="O169" s="18" t="s">
        <x:v>203</x:v>
      </x:c>
      <x:c r="P169" s="17" t="s">
        <x:v>203</x:v>
      </x:c>
    </x:row>
    <x:row r="170" spans="1:39">
      <x:c r="F170" s="18">
        <x:f>IFERROR(VLOOKUP(G170, $A$5:$B$52, 2, FALSE), "")</x:f>
      </x:c>
      <x:c r="G170" s="17">
        <x:v>42</x:v>
      </x:c>
      <x:c r="H170" s="17" t="s">
        <x:v>64</x:v>
      </x:c>
      <x:c r="I170" s="17">
        <x:v>166</x:v>
      </x:c>
      <x:c r="J170" s="18" t="s">
        <x:v>371</x:v>
      </x:c>
      <x:c r="K170" s="18" t="s">
        <x:v>115</x:v>
      </x:c>
      <x:c r="L170" s="17" t="s">
        <x:v>122</x:v>
      </x:c>
      <x:c r="M170" s="17">
        <x:v>62</x:v>
      </x:c>
      <x:c r="N170" s="18">
        <x:f>IFERROR(VLOOKUP(G170, $A$5:$C$52, 3, FALSE), "")</x:f>
      </x:c>
      <x:c r="O170" s="18" t="s">
        <x:v>203</x:v>
      </x:c>
      <x:c r="P170" s="17" t="s">
        <x:v>203</x:v>
      </x:c>
    </x:row>
    <x:row r="171" spans="1:39">
      <x:c r="F171" s="18">
        <x:f>IFERROR(VLOOKUP(G171, $A$5:$B$52, 2, FALSE), "")</x:f>
      </x:c>
      <x:c r="G171" s="17">
        <x:v>43</x:v>
      </x:c>
      <x:c r="H171" s="17" t="s">
        <x:v>64</x:v>
      </x:c>
      <x:c r="I171" s="17">
        <x:v>167</x:v>
      </x:c>
      <x:c r="J171" s="18" t="s">
        <x:v>372</x:v>
      </x:c>
      <x:c r="K171" s="18" t="s">
        <x:v>84</x:v>
      </x:c>
      <x:c r="L171" s="17" t="s">
        <x:v>121</x:v>
      </x:c>
      <x:c r="M171" s="17">
        <x:v>63</x:v>
      </x:c>
      <x:c r="N171" s="18">
        <x:f>IFERROR(VLOOKUP(G171, $A$5:$C$52, 3, FALSE), "")</x:f>
      </x:c>
      <x:c r="O171" s="18" t="s">
        <x:v>203</x:v>
      </x:c>
      <x:c r="P171" s="17" t="s">
        <x:v>203</x:v>
      </x:c>
    </x:row>
    <x:row r="172" spans="1:39">
      <x:c r="F172" s="18">
        <x:f>IFERROR(VLOOKUP(G172, $A$5:$B$52, 2, FALSE), "")</x:f>
      </x:c>
      <x:c r="G172" s="17">
        <x:v>43</x:v>
      </x:c>
      <x:c r="H172" s="17" t="s">
        <x:v>64</x:v>
      </x:c>
      <x:c r="I172" s="17">
        <x:v>168</x:v>
      </x:c>
      <x:c r="J172" s="18" t="s">
        <x:v>370</x:v>
      </x:c>
      <x:c r="K172" s="18" t="s">
        <x:v>84</x:v>
      </x:c>
      <x:c r="L172" s="17" t="s">
        <x:v>122</x:v>
      </x:c>
      <x:c r="M172" s="17">
        <x:v>64</x:v>
      </x:c>
      <x:c r="N172" s="18">
        <x:f>IFERROR(VLOOKUP(G172, $A$5:$C$52, 3, FALSE), "")</x:f>
      </x:c>
      <x:c r="O172" s="18" t="s">
        <x:v>203</x:v>
      </x:c>
      <x:c r="P172" s="17" t="s">
        <x:v>203</x:v>
      </x:c>
    </x:row>
    <x:row r="173" spans="1:39">
      <x:c r="F173" s="18">
        <x:f>IFERROR(VLOOKUP(G173, $A$5:$B$52, 2, FALSE), "")</x:f>
      </x:c>
      <x:c r="G173" s="17">
        <x:v>44</x:v>
      </x:c>
      <x:c r="H173" s="17" t="s">
        <x:v>64</x:v>
      </x:c>
      <x:c r="I173" s="17">
        <x:v>169</x:v>
      </x:c>
      <x:c r="J173" s="18" t="s">
        <x:v>373</x:v>
      </x:c>
      <x:c r="K173" s="18" t="s">
        <x:v>84</x:v>
      </x:c>
      <x:c r="L173" s="17" t="s">
        <x:v>117</x:v>
      </x:c>
      <x:c r="M173" s="17">
        <x:v>65</x:v>
      </x:c>
      <x:c r="N173" s="18">
        <x:f>IFERROR(VLOOKUP(G173, $A$5:$C$52, 3, FALSE), "")</x:f>
      </x:c>
      <x:c r="O173" s="18" t="s">
        <x:v>203</x:v>
      </x:c>
      <x:c r="P173" s="17" t="s">
        <x:v>203</x:v>
      </x:c>
    </x:row>
    <x:row r="174" spans="1:39">
      <x:c r="F174" s="18">
        <x:f>IFERROR(VLOOKUP(G174, $A$5:$B$52, 2, FALSE), "")</x:f>
      </x:c>
      <x:c r="G174" s="17">
        <x:v>44</x:v>
      </x:c>
      <x:c r="H174" s="17" t="s">
        <x:v>64</x:v>
      </x:c>
      <x:c r="I174" s="17">
        <x:v>170</x:v>
      </x:c>
      <x:c r="J174" s="18" t="s">
        <x:v>374</x:v>
      </x:c>
      <x:c r="K174" s="18" t="s">
        <x:v>115</x:v>
      </x:c>
      <x:c r="L174" s="17" t="s">
        <x:v>117</x:v>
      </x:c>
      <x:c r="M174" s="17">
        <x:v>66</x:v>
      </x:c>
      <x:c r="N174" s="18">
        <x:f>IFERROR(VLOOKUP(G174, $A$5:$C$52, 3, FALSE), "")</x:f>
      </x:c>
      <x:c r="O174" s="18" t="s">
        <x:v>203</x:v>
      </x:c>
      <x:c r="P174" s="17" t="s">
        <x:v>203</x:v>
      </x:c>
    </x:row>
    <x:row r="175" spans="1:39">
      <x:c r="F175" s="18">
        <x:f>IFERROR(VLOOKUP(G175, $A$5:$B$52, 2, FALSE), "")</x:f>
      </x:c>
      <x:c r="G175" s="17">
        <x:v>44</x:v>
      </x:c>
      <x:c r="H175" s="17" t="s">
        <x:v>64</x:v>
      </x:c>
      <x:c r="I175" s="17">
        <x:v>171</x:v>
      </x:c>
      <x:c r="J175" s="18" t="s">
        <x:v>375</x:v>
      </x:c>
      <x:c r="K175" s="18" t="s">
        <x:v>76</x:v>
      </x:c>
      <x:c r="L175" s="17" t="s">
        <x:v>117</x:v>
      </x:c>
      <x:c r="M175" s="17">
        <x:v>67</x:v>
      </x:c>
      <x:c r="N175" s="18">
        <x:f>IFERROR(VLOOKUP(G175, $A$5:$C$52, 3, FALSE), "")</x:f>
      </x:c>
      <x:c r="O175" s="18" t="s">
        <x:v>203</x:v>
      </x:c>
      <x:c r="P175" s="17" t="s">
        <x:v>203</x:v>
      </x:c>
    </x:row>
    <x:row r="176" spans="1:39">
      <x:c r="F176" s="18">
        <x:f>IFERROR(VLOOKUP(G176, $A$5:$B$52, 2, FALSE), "")</x:f>
      </x:c>
      <x:c r="G176" s="17">
        <x:v>44</x:v>
      </x:c>
      <x:c r="H176" s="17" t="s">
        <x:v>64</x:v>
      </x:c>
      <x:c r="I176" s="17">
        <x:v>190215</x:v>
      </x:c>
      <x:c r="J176" s="18" t="s">
        <x:v>376</x:v>
      </x:c>
      <x:c r="K176" s="18" t="s">
        <x:v>84</x:v>
      </x:c>
      <x:c r="L176" s="17" t="s">
        <x:v>118</x:v>
      </x:c>
      <x:c r="M176" s="17">
        <x:v>68</x:v>
      </x:c>
      <x:c r="N176" s="18">
        <x:f>IFERROR(VLOOKUP(G176, $A$5:$C$52, 3, FALSE), "")</x:f>
      </x:c>
      <x:c r="O176" s="18" t="s">
        <x:v>203</x:v>
      </x:c>
      <x:c r="P176" s="17" t="s">
        <x:v>203</x:v>
      </x:c>
    </x:row>
    <x:row r="177" spans="1:39">
      <x:c r="F177" s="18">
        <x:f>IFERROR(VLOOKUP(G177, $A$5:$B$52, 2, FALSE), "")</x:f>
      </x:c>
      <x:c r="G177" s="17">
        <x:v>44</x:v>
      </x:c>
      <x:c r="H177" s="17" t="s">
        <x:v>64</x:v>
      </x:c>
      <x:c r="I177" s="17">
        <x:v>190216</x:v>
      </x:c>
      <x:c r="J177" s="18" t="s">
        <x:v>377</x:v>
      </x:c>
      <x:c r="K177" s="18" t="s">
        <x:v>116</x:v>
      </x:c>
      <x:c r="L177" s="17" t="s">
        <x:v>118</x:v>
      </x:c>
      <x:c r="M177" s="17">
        <x:v>69</x:v>
      </x:c>
      <x:c r="N177" s="18">
        <x:f>IFERROR(VLOOKUP(G177, $A$5:$C$52, 3, FALSE), "")</x:f>
      </x:c>
      <x:c r="O177" s="18" t="s">
        <x:v>203</x:v>
      </x:c>
      <x:c r="P177" s="17" t="s">
        <x:v>203</x:v>
      </x:c>
    </x:row>
    <x:row r="178" spans="1:39">
      <x:c r="F178" s="18">
        <x:f>IFERROR(VLOOKUP(G178, $A$5:$B$52, 2, FALSE), "")</x:f>
      </x:c>
      <x:c r="G178" s="17">
        <x:v>45</x:v>
      </x:c>
      <x:c r="H178" s="17" t="s">
        <x:v>64</x:v>
      </x:c>
      <x:c r="I178" s="17">
        <x:v>190217</x:v>
      </x:c>
      <x:c r="J178" s="18" t="s">
        <x:v>378</x:v>
      </x:c>
      <x:c r="K178" s="18" t="s">
        <x:v>84</x:v>
      </x:c>
      <x:c r="L178" s="17" t="s">
        <x:v>118</x:v>
      </x:c>
      <x:c r="M178" s="17">
        <x:v>70</x:v>
      </x:c>
      <x:c r="N178" s="18">
        <x:f>IFERROR(VLOOKUP(G178, $A$5:$C$52, 3, FALSE), "")</x:f>
      </x:c>
      <x:c r="O178" s="18" t="s">
        <x:v>203</x:v>
      </x:c>
      <x:c r="P178" s="17" t="s">
        <x:v>203</x:v>
      </x:c>
    </x:row>
    <x:row r="179" spans="1:39">
      <x:c r="F179" s="18">
        <x:f>IFERROR(VLOOKUP(G179, $A$5:$B$52, 2, FALSE), "")</x:f>
      </x:c>
      <x:c r="G179" s="17">
        <x:v>45</x:v>
      </x:c>
      <x:c r="H179" s="17" t="s">
        <x:v>64</x:v>
      </x:c>
      <x:c r="I179" s="17">
        <x:v>190218</x:v>
      </x:c>
      <x:c r="J179" s="18" t="s">
        <x:v>379</x:v>
      </x:c>
      <x:c r="K179" s="18" t="s">
        <x:v>84</x:v>
      </x:c>
      <x:c r="L179" s="17" t="s">
        <x:v>119</x:v>
      </x:c>
      <x:c r="M179" s="17">
        <x:v>71</x:v>
      </x:c>
      <x:c r="N179" s="18">
        <x:f>IFERROR(VLOOKUP(G179, $A$5:$C$52, 3, FALSE), "")</x:f>
      </x:c>
      <x:c r="O179" s="18" t="s">
        <x:v>203</x:v>
      </x:c>
      <x:c r="P179" s="17" t="s">
        <x:v>203</x:v>
      </x:c>
    </x:row>
    <x:row r="180" spans="1:39">
      <x:c r="F180" s="18">
        <x:f>IFERROR(VLOOKUP(G180, $A$5:$B$52, 2, FALSE), "")</x:f>
      </x:c>
      <x:c r="G180" s="17">
        <x:v>46</x:v>
      </x:c>
      <x:c r="H180" s="17" t="s">
        <x:v>64</x:v>
      </x:c>
      <x:c r="I180" s="17">
        <x:v>190219</x:v>
      </x:c>
      <x:c r="J180" s="18" t="s">
        <x:v>380</x:v>
      </x:c>
      <x:c r="K180" s="18" t="s">
        <x:v>84</x:v>
      </x:c>
      <x:c r="L180" s="17" t="s">
        <x:v>120</x:v>
      </x:c>
      <x:c r="M180" s="17">
        <x:v>72</x:v>
      </x:c>
      <x:c r="N180" s="18">
        <x:f>IFERROR(VLOOKUP(G180, $A$5:$C$52, 3, FALSE), "")</x:f>
      </x:c>
      <x:c r="O180" s="18" t="s">
        <x:v>203</x:v>
      </x:c>
      <x:c r="P180" s="17" t="s">
        <x:v>203</x:v>
      </x:c>
    </x:row>
    <x:row r="181" spans="1:39">
      <x:c r="F181" s="18">
        <x:f>IFERROR(VLOOKUP(G181, $A$5:$B$52, 2, FALSE), "")</x:f>
      </x:c>
      <x:c r="G181" s="17">
        <x:v>46</x:v>
      </x:c>
      <x:c r="H181" s="17" t="s">
        <x:v>64</x:v>
      </x:c>
      <x:c r="I181" s="17">
        <x:v>190220</x:v>
      </x:c>
      <x:c r="J181" s="18" t="s">
        <x:v>381</x:v>
      </x:c>
      <x:c r="K181" s="18" t="s">
        <x:v>322</x:v>
      </x:c>
      <x:c r="L181" s="17" t="s">
        <x:v>120</x:v>
      </x:c>
      <x:c r="M181" s="17">
        <x:v>73</x:v>
      </x:c>
      <x:c r="N181" s="18">
        <x:f>IFERROR(VLOOKUP(G181, $A$5:$C$52, 3, FALSE), "")</x:f>
      </x:c>
      <x:c r="O181" s="18" t="s">
        <x:v>203</x:v>
      </x:c>
      <x:c r="P181" s="17" t="s">
        <x:v>203</x:v>
      </x:c>
    </x:row>
    <x:row r="182" spans="1:39">
      <x:c r="F182" s="18">
        <x:f>IFERROR(VLOOKUP(G182, $A$5:$B$52, 2, FALSE), "")</x:f>
      </x:c>
      <x:c r="G182" s="17">
        <x:v>46</x:v>
      </x:c>
      <x:c r="H182" s="17" t="s">
        <x:v>64</x:v>
      </x:c>
      <x:c r="I182" s="17">
        <x:v>190221</x:v>
      </x:c>
      <x:c r="J182" s="18" t="s">
        <x:v>382</x:v>
      </x:c>
      <x:c r="K182" s="18" t="s">
        <x:v>84</x:v>
      </x:c>
      <x:c r="L182" s="17" t="s">
        <x:v>122</x:v>
      </x:c>
      <x:c r="M182" s="17">
        <x:v>74</x:v>
      </x:c>
      <x:c r="N182" s="18">
        <x:f>IFERROR(VLOOKUP(G182, $A$5:$C$52, 3, FALSE), "")</x:f>
      </x:c>
      <x:c r="O182" s="18" t="s">
        <x:v>203</x:v>
      </x:c>
      <x:c r="P182" s="17" t="s">
        <x:v>203</x:v>
      </x:c>
    </x:row>
    <x:row r="183" spans="1:39">
      <x:c r="F183" s="18">
        <x:f>IFERROR(VLOOKUP(G183, $A$5:$B$52, 2, FALSE), "")</x:f>
      </x:c>
      <x:c r="G183" s="17">
        <x:v>47</x:v>
      </x:c>
      <x:c r="H183" s="17" t="s">
        <x:v>64</x:v>
      </x:c>
      <x:c r="I183" s="17">
        <x:v>190222</x:v>
      </x:c>
      <x:c r="J183" s="18" t="s">
        <x:v>383</x:v>
      </x:c>
      <x:c r="K183" s="18" t="s">
        <x:v>84</x:v>
      </x:c>
      <x:c r="L183" s="17" t="s">
        <x:v>117</x:v>
      </x:c>
      <x:c r="M183" s="17">
        <x:v>75</x:v>
      </x:c>
      <x:c r="N183" s="18">
        <x:f>IFERROR(VLOOKUP(G183, $A$5:$C$52, 3, FALSE), "")</x:f>
      </x:c>
      <x:c r="O183" s="18" t="s">
        <x:v>203</x:v>
      </x:c>
      <x:c r="P183" s="17" t="s">
        <x:v>203</x:v>
      </x:c>
    </x:row>
    <x:row r="184" spans="1:39">
      <x:c r="F184" s="18">
        <x:f>IFERROR(VLOOKUP(G184, $A$5:$B$52, 2, FALSE), "")</x:f>
      </x:c>
      <x:c r="G184" s="17">
        <x:v>47</x:v>
      </x:c>
      <x:c r="H184" s="17" t="s">
        <x:v>64</x:v>
      </x:c>
      <x:c r="I184" s="17">
        <x:v>190223</x:v>
      </x:c>
      <x:c r="J184" s="18" t="s">
        <x:v>384</x:v>
      </x:c>
      <x:c r="K184" s="18" t="s">
        <x:v>116</x:v>
      </x:c>
      <x:c r="L184" s="17" t="s">
        <x:v>117</x:v>
      </x:c>
      <x:c r="M184" s="17">
        <x:v>76</x:v>
      </x:c>
      <x:c r="N184" s="18">
        <x:f>IFERROR(VLOOKUP(G184, $A$5:$C$52, 3, FALSE), "")</x:f>
      </x:c>
      <x:c r="O184" s="18" t="s">
        <x:v>203</x:v>
      </x:c>
      <x:c r="P184" s="17" t="s">
        <x:v>203</x:v>
      </x:c>
    </x:row>
    <x:row r="185" spans="1:39">
      <x:c r="F185" s="18">
        <x:f>IFERROR(VLOOKUP(G185, $A$5:$B$52, 2, FALSE), "")</x:f>
      </x:c>
      <x:c r="G185" s="17">
        <x:v>47</x:v>
      </x:c>
      <x:c r="H185" s="17" t="s">
        <x:v>64</x:v>
      </x:c>
      <x:c r="I185" s="17">
        <x:v>190224</x:v>
      </x:c>
      <x:c r="J185" s="18" t="s">
        <x:v>385</x:v>
      </x:c>
      <x:c r="K185" s="18" t="s">
        <x:v>84</x:v>
      </x:c>
      <x:c r="L185" s="17" t="s">
        <x:v>118</x:v>
      </x:c>
      <x:c r="M185" s="17">
        <x:v>77</x:v>
      </x:c>
      <x:c r="N185" s="18">
        <x:f>IFERROR(VLOOKUP(G185, $A$5:$C$52, 3, FALSE), "")</x:f>
      </x:c>
      <x:c r="O185" s="18" t="s">
        <x:v>203</x:v>
      </x:c>
      <x:c r="P185" s="17" t="s">
        <x:v>203</x:v>
      </x:c>
    </x:row>
    <x:row r="186" spans="1:39">
      <x:c r="F186" s="18">
        <x:f>IFERROR(VLOOKUP(G186, $A$5:$B$52, 2, FALSE), "")</x:f>
      </x:c>
      <x:c r="G186" s="17">
        <x:v>47</x:v>
      </x:c>
      <x:c r="H186" s="17" t="s">
        <x:v>64</x:v>
      </x:c>
      <x:c r="I186" s="17">
        <x:v>190225</x:v>
      </x:c>
      <x:c r="J186" s="18" t="s">
        <x:v>386</x:v>
      </x:c>
      <x:c r="K186" s="18" t="s">
        <x:v>115</x:v>
      </x:c>
      <x:c r="L186" s="17" t="s">
        <x:v>118</x:v>
      </x:c>
      <x:c r="M186" s="17">
        <x:v>78</x:v>
      </x:c>
      <x:c r="N186" s="18">
        <x:f>IFERROR(VLOOKUP(G186, $A$5:$C$52, 3, FALSE), "")</x:f>
      </x:c>
      <x:c r="O186" s="18" t="s">
        <x:v>203</x:v>
      </x:c>
      <x:c r="P186" s="17" t="s">
        <x:v>203</x:v>
      </x:c>
    </x:row>
    <x:row r="187" spans="1:39">
      <x:c r="F187" s="18">
        <x:f>IFERROR(VLOOKUP(G187, $A$5:$B$52, 2, FALSE), "")</x:f>
      </x:c>
      <x:c r="G187" s="17">
        <x:v>47</x:v>
      </x:c>
      <x:c r="H187" s="17" t="s">
        <x:v>64</x:v>
      </x:c>
      <x:c r="I187" s="17">
        <x:v>190226</x:v>
      </x:c>
      <x:c r="J187" s="18" t="s">
        <x:v>387</x:v>
      </x:c>
      <x:c r="K187" s="18" t="s">
        <x:v>76</x:v>
      </x:c>
      <x:c r="L187" s="17" t="s">
        <x:v>118</x:v>
      </x:c>
      <x:c r="M187" s="17">
        <x:v>79</x:v>
      </x:c>
      <x:c r="N187" s="18">
        <x:f>IFERROR(VLOOKUP(G187, $A$5:$C$52, 3, FALSE), "")</x:f>
      </x:c>
      <x:c r="O187" s="18" t="s">
        <x:v>203</x:v>
      </x:c>
      <x:c r="P187" s="17" t="s">
        <x:v>203</x:v>
      </x:c>
    </x:row>
    <x:row r="188" spans="1:39">
      <x:c r="F188" s="18">
        <x:f>IFERROR(VLOOKUP(G188, $A$5:$B$52, 2, FALSE), "")</x:f>
      </x:c>
      <x:c r="G188" s="17">
        <x:v>48</x:v>
      </x:c>
      <x:c r="H188" s="17" t="s">
        <x:v>64</x:v>
      </x:c>
      <x:c r="I188" s="17">
        <x:v>190227</x:v>
      </x:c>
      <x:c r="J188" s="18" t="s">
        <x:v>388</x:v>
      </x:c>
      <x:c r="K188" s="18" t="s">
        <x:v>84</x:v>
      </x:c>
      <x:c r="L188" s="17" t="s">
        <x:v>120</x:v>
      </x:c>
      <x:c r="M188" s="17">
        <x:v>80</x:v>
      </x:c>
      <x:c r="N188" s="18">
        <x:f>IFERROR(VLOOKUP(G188, $A$5:$C$52, 3, FALSE), "")</x:f>
      </x:c>
      <x:c r="O188" s="18" t="s">
        <x:v>203</x:v>
      </x:c>
      <x:c r="P188" s="17" t="s">
        <x:v>203</x:v>
      </x:c>
    </x:row>
    <x:row r="189" spans="1:39">
      <x:c r="F189" s="18">
        <x:f>IFERROR(VLOOKUP(G189, $A$5:$B$52, 2, FALSE), "")</x:f>
      </x:c>
      <x:c r="G189" s="17">
        <x:v>48</x:v>
      </x:c>
      <x:c r="H189" s="17" t="s">
        <x:v>64</x:v>
      </x:c>
      <x:c r="I189" s="17">
        <x:v>190228</x:v>
      </x:c>
      <x:c r="J189" s="18" t="s">
        <x:v>389</x:v>
      </x:c>
      <x:c r="K189" s="18" t="s">
        <x:v>84</x:v>
      </x:c>
      <x:c r="L189" s="17" t="s">
        <x:v>121</x:v>
      </x:c>
      <x:c r="M189" s="17">
        <x:v>81</x:v>
      </x:c>
      <x:c r="N189" s="18">
        <x:f>IFERROR(VLOOKUP(G189, $A$5:$C$52, 3, FALSE), "")</x:f>
      </x:c>
      <x:c r="O189" s="18" t="s">
        <x:v>203</x:v>
      </x:c>
      <x:c r="P189" s="17" t="s">
        <x:v>203</x:v>
      </x:c>
    </x:row>
    <x:row r="190" spans="1:39">
      <x:c r="F190" s="18">
        <x:f>IFERROR(VLOOKUP(G190, $A$5:$B$52, 2, FALSE), "")</x:f>
      </x:c>
      <x:c r="G190" s="17">
        <x:v>48</x:v>
      </x:c>
      <x:c r="H190" s="17" t="s">
        <x:v>64</x:v>
      </x:c>
      <x:c r="I190" s="17">
        <x:v>190229</x:v>
      </x:c>
      <x:c r="J190" s="18" t="s">
        <x:v>390</x:v>
      </x:c>
      <x:c r="K190" s="18" t="s">
        <x:v>322</x:v>
      </x:c>
      <x:c r="L190" s="17" t="s">
        <x:v>121</x:v>
      </x:c>
      <x:c r="M190" s="17">
        <x:v>82</x:v>
      </x:c>
      <x:c r="N190" s="18">
        <x:f>IFERROR(VLOOKUP(G190, $A$5:$C$52, 3, FALSE), "")</x:f>
      </x:c>
      <x:c r="O190" s="18" t="s">
        <x:v>203</x:v>
      </x:c>
      <x:c r="P190" s="17" t="s">
        <x:v>203</x:v>
      </x:c>
    </x:row>
    <x:row r="191" spans="1:39">
      <x:c r="F191" s="18">
        <x:f>IFERROR(VLOOKUP(G191, $A$5:$B$52, 2, FALSE), "")</x:f>
      </x:c>
      <x:c r="G191" s="17">
        <x:v>27</x:v>
      </x:c>
      <x:c r="H191" s="17" t="s">
        <x:v>65</x:v>
      </x:c>
      <x:c r="I191" s="17">
        <x:v>172</x:v>
      </x:c>
      <x:c r="J191" s="18" t="s">
        <x:v>391</x:v>
      </x:c>
      <x:c r="K191" s="18" t="s">
        <x:v>391</x:v>
      </x:c>
      <x:c r="L191" s="17" t="s">
        <x:v>118</x:v>
      </x:c>
      <x:c r="M191" s="17">
        <x:v>6</x:v>
      </x:c>
      <x:c r="N191" s="18">
        <x:f>IFERROR(VLOOKUP(G191, $A$5:$C$52, 3, FALSE), "")</x:f>
      </x:c>
      <x:c r="O191" s="18" t="s">
        <x:v>203</x:v>
      </x:c>
      <x:c r="P191" s="17" t="s">
        <x:v>203</x:v>
      </x:c>
    </x:row>
    <x:row r="192" spans="1:39">
      <x:c r="F192" s="18">
        <x:f>IFERROR(VLOOKUP(G192, $A$5:$B$52, 2, FALSE), "")</x:f>
      </x:c>
      <x:c r="G192" s="17">
        <x:v>27</x:v>
      </x:c>
      <x:c r="H192" s="17" t="s">
        <x:v>65</x:v>
      </x:c>
      <x:c r="I192" s="17">
        <x:v>173</x:v>
      </x:c>
      <x:c r="J192" s="18" t="s">
        <x:v>392</x:v>
      </x:c>
      <x:c r="K192" s="18" t="s">
        <x:v>392</x:v>
      </x:c>
      <x:c r="L192" s="17" t="s">
        <x:v>119</x:v>
      </x:c>
      <x:c r="M192" s="17">
        <x:v>27</x:v>
      </x:c>
      <x:c r="N192" s="18">
        <x:f>IFERROR(VLOOKUP(G192, $A$5:$C$52, 3, FALSE), "")</x:f>
      </x:c>
      <x:c r="O192" s="18" t="s">
        <x:v>203</x:v>
      </x:c>
      <x:c r="P192" s="17" t="s">
        <x:v>203</x:v>
      </x:c>
    </x:row>
    <x:row r="193" spans="1:39">
      <x:c r="F193" s="18">
        <x:f>IFERROR(VLOOKUP(G193, $A$5:$B$52, 2, FALSE), "")</x:f>
      </x:c>
      <x:c r="G193" s="17">
        <x:v>28</x:v>
      </x:c>
      <x:c r="H193" s="17" t="s">
        <x:v>65</x:v>
      </x:c>
      <x:c r="I193" s="17">
        <x:v>174</x:v>
      </x:c>
      <x:c r="J193" s="18" t="s">
        <x:v>393</x:v>
      </x:c>
      <x:c r="K193" s="18" t="s">
        <x:v>393</x:v>
      </x:c>
      <x:c r="L193" s="17" t="s">
        <x:v>118</x:v>
      </x:c>
      <x:c r="M193" s="17">
        <x:v>48</x:v>
      </x:c>
      <x:c r="N193" s="18">
        <x:f>IFERROR(VLOOKUP(G193, $A$5:$C$52, 3, FALSE), "")</x:f>
      </x:c>
      <x:c r="O193" s="18" t="s">
        <x:v>203</x:v>
      </x:c>
      <x:c r="P193" s="17" t="s">
        <x:v>203</x:v>
      </x:c>
    </x:row>
    <x:row r="194" spans="1:39">
      <x:c r="F194" s="18">
        <x:f>IFERROR(VLOOKUP(G194, $A$5:$B$52, 2, FALSE), "")</x:f>
      </x:c>
      <x:c r="G194" s="17">
        <x:v>29</x:v>
      </x:c>
      <x:c r="H194" s="17" t="s">
        <x:v>65</x:v>
      </x:c>
      <x:c r="I194" s="17">
        <x:v>175</x:v>
      </x:c>
      <x:c r="J194" s="18" t="s">
        <x:v>394</x:v>
      </x:c>
      <x:c r="K194" s="18" t="s">
        <x:v>394</x:v>
      </x:c>
      <x:c r="L194" s="17" t="s">
        <x:v>121</x:v>
      </x:c>
      <x:c r="M194" s="17">
        <x:v>69</x:v>
      </x:c>
      <x:c r="N194" s="18">
        <x:f>IFERROR(VLOOKUP(G194, $A$5:$C$52, 3, FALSE), "")</x:f>
      </x:c>
      <x:c r="O194" s="18" t="s">
        <x:v>203</x:v>
      </x:c>
      <x:c r="P194" s="17" t="s">
        <x:v>203</x:v>
      </x:c>
    </x:row>
    <x:row r="195" spans="1:39">
      <x:c r="F195" s="18">
        <x:f>IFERROR(VLOOKUP(G195, $A$5:$B$52, 2, FALSE), "")</x:f>
      </x:c>
      <x:c r="G195" s="17">
        <x:v>29</x:v>
      </x:c>
      <x:c r="H195" s="17" t="s">
        <x:v>65</x:v>
      </x:c>
      <x:c r="I195" s="17">
        <x:v>176</x:v>
      </x:c>
      <x:c r="J195" s="18" t="s">
        <x:v>395</x:v>
      </x:c>
      <x:c r="K195" s="18" t="s">
        <x:v>395</x:v>
      </x:c>
      <x:c r="L195" s="17" t="s">
        <x:v>122</x:v>
      </x:c>
      <x:c r="M195" s="17">
        <x:v>90</x:v>
      </x:c>
      <x:c r="N195" s="18">
        <x:f>IFERROR(VLOOKUP(G195, $A$5:$C$52, 3, FALSE), "")</x:f>
      </x:c>
      <x:c r="O195" s="18" t="s">
        <x:v>203</x:v>
      </x:c>
      <x:c r="P195" s="17" t="s">
        <x:v>203</x:v>
      </x:c>
    </x:row>
    <x:row r="196" spans="1:39">
      <x:c r="F196" s="18">
        <x:f>IFERROR(VLOOKUP(G196, $A$5:$B$52, 2, FALSE), "")</x:f>
      </x:c>
      <x:c r="G196" s="17">
        <x:v>30</x:v>
      </x:c>
      <x:c r="H196" s="17" t="s">
        <x:v>65</x:v>
      </x:c>
      <x:c r="I196" s="17">
        <x:v>177</x:v>
      </x:c>
      <x:c r="J196" s="18" t="s">
        <x:v>396</x:v>
      </x:c>
      <x:c r="K196" s="18" t="s">
        <x:v>396</x:v>
      </x:c>
      <x:c r="L196" s="17" t="s">
        <x:v>120</x:v>
      </x:c>
      <x:c r="M196" s="17">
        <x:v>111</x:v>
      </x:c>
      <x:c r="N196" s="18">
        <x:f>IFERROR(VLOOKUP(G196, $A$5:$C$52, 3, FALSE), "")</x:f>
      </x:c>
      <x:c r="O196" s="18" t="s">
        <x:v>203</x:v>
      </x:c>
      <x:c r="P196" s="17" t="s">
        <x:v>203</x:v>
      </x:c>
    </x:row>
    <x:row r="197" spans="1:39">
      <x:c r="F197" s="18">
        <x:f>IFERROR(VLOOKUP(G197, $A$5:$B$52, 2, FALSE), "")</x:f>
      </x:c>
      <x:c r="G197" s="17">
        <x:v>30</x:v>
      </x:c>
      <x:c r="H197" s="17" t="s">
        <x:v>65</x:v>
      </x:c>
      <x:c r="I197" s="17">
        <x:v>178</x:v>
      </x:c>
      <x:c r="J197" s="18" t="s">
        <x:v>397</x:v>
      </x:c>
      <x:c r="K197" s="18" t="s">
        <x:v>397</x:v>
      </x:c>
      <x:c r="L197" s="17" t="s">
        <x:v>122</x:v>
      </x:c>
      <x:c r="M197" s="17">
        <x:v>132</x:v>
      </x:c>
      <x:c r="N197" s="18">
        <x:f>IFERROR(VLOOKUP(G197, $A$5:$C$52, 3, FALSE), "")</x:f>
      </x:c>
      <x:c r="O197" s="18" t="s">
        <x:v>203</x:v>
      </x:c>
      <x:c r="P197" s="17" t="s">
        <x:v>203</x:v>
      </x:c>
    </x:row>
    <x:row r="198" spans="1:39">
      <x:c r="F198" s="18">
        <x:f>IFERROR(VLOOKUP(G198, $A$5:$B$52, 2, FALSE), "")</x:f>
      </x:c>
      <x:c r="G198" s="17">
        <x:v>31</x:v>
      </x:c>
      <x:c r="H198" s="17" t="s">
        <x:v>65</x:v>
      </x:c>
      <x:c r="I198" s="17">
        <x:v>179</x:v>
      </x:c>
      <x:c r="J198" s="18" t="s">
        <x:v>398</x:v>
      </x:c>
      <x:c r="K198" s="18" t="s">
        <x:v>398</x:v>
      </x:c>
      <x:c r="L198" s="17" t="s">
        <x:v>118</x:v>
      </x:c>
      <x:c r="M198" s="17">
        <x:v>153</x:v>
      </x:c>
      <x:c r="N198" s="18">
        <x:f>IFERROR(VLOOKUP(G198, $A$5:$C$52, 3, FALSE), "")</x:f>
      </x:c>
      <x:c r="O198" s="18" t="s">
        <x:v>203</x:v>
      </x:c>
      <x:c r="P198" s="17" t="s">
        <x:v>203</x:v>
      </x:c>
    </x:row>
    <x:row r="199" spans="1:39">
      <x:c r="F199" s="18">
        <x:f>IFERROR(VLOOKUP(G199, $A$5:$B$52, 2, FALSE), "")</x:f>
      </x:c>
      <x:c r="G199" s="17">
        <x:v>31</x:v>
      </x:c>
      <x:c r="H199" s="17" t="s">
        <x:v>65</x:v>
      </x:c>
      <x:c r="I199" s="17">
        <x:v>180</x:v>
      </x:c>
      <x:c r="J199" s="18" t="s">
        <x:v>399</x:v>
      </x:c>
      <x:c r="K199" s="18" t="s">
        <x:v>399</x:v>
      </x:c>
      <x:c r="L199" s="17" t="s">
        <x:v>119</x:v>
      </x:c>
      <x:c r="M199" s="17">
        <x:v>174</x:v>
      </x:c>
      <x:c r="N199" s="18">
        <x:f>IFERROR(VLOOKUP(G199, $A$5:$C$52, 3, FALSE), "")</x:f>
      </x:c>
      <x:c r="O199" s="18" t="s">
        <x:v>203</x:v>
      </x:c>
      <x:c r="P199" s="17" t="s">
        <x:v>203</x:v>
      </x:c>
    </x:row>
    <x:row r="200" spans="1:39">
      <x:c r="F200" s="18">
        <x:f>IFERROR(VLOOKUP(G200, $A$5:$B$52, 2, FALSE), "")</x:f>
      </x:c>
      <x:c r="G200" s="17">
        <x:v>32</x:v>
      </x:c>
      <x:c r="H200" s="17" t="s">
        <x:v>65</x:v>
      </x:c>
      <x:c r="I200" s="17">
        <x:v>181</x:v>
      </x:c>
      <x:c r="J200" s="18" t="s">
        <x:v>400</x:v>
      </x:c>
      <x:c r="K200" s="18" t="s">
        <x:v>400</x:v>
      </x:c>
      <x:c r="L200" s="17" t="s">
        <x:v>121</x:v>
      </x:c>
      <x:c r="M200" s="17">
        <x:v>195</x:v>
      </x:c>
      <x:c r="N200" s="18">
        <x:f>IFERROR(VLOOKUP(G200, $A$5:$C$52, 3, FALSE), "")</x:f>
      </x:c>
      <x:c r="O200" s="18" t="s">
        <x:v>203</x:v>
      </x:c>
      <x:c r="P200" s="17" t="s">
        <x:v>203</x:v>
      </x:c>
    </x:row>
    <x:row r="201" spans="1:39">
      <x:c r="F201" s="18">
        <x:f>IFERROR(VLOOKUP(G201, $A$5:$B$52, 2, FALSE), "")</x:f>
      </x:c>
      <x:c r="G201" s="17">
        <x:v>33</x:v>
      </x:c>
      <x:c r="H201" s="17" t="s">
        <x:v>65</x:v>
      </x:c>
      <x:c r="I201" s="17">
        <x:v>182</x:v>
      </x:c>
      <x:c r="J201" s="18" t="s">
        <x:v>401</x:v>
      </x:c>
      <x:c r="K201" s="18" t="s">
        <x:v>401</x:v>
      </x:c>
      <x:c r="L201" s="17" t="s">
        <x:v>121</x:v>
      </x:c>
      <x:c r="M201" s="17">
        <x:v>216</x:v>
      </x:c>
      <x:c r="N201" s="18">
        <x:f>IFERROR(VLOOKUP(G201, $A$5:$C$52, 3, FALSE), "")</x:f>
      </x:c>
      <x:c r="O201" s="18" t="s">
        <x:v>203</x:v>
      </x:c>
      <x:c r="P201" s="17" t="s">
        <x:v>203</x:v>
      </x:c>
    </x:row>
    <x:row r="202" spans="1:39">
      <x:c r="F202" s="18">
        <x:f>IFERROR(VLOOKUP(G202, $A$5:$B$52, 2, FALSE), "")</x:f>
      </x:c>
      <x:c r="G202" s="17">
        <x:v>34</x:v>
      </x:c>
      <x:c r="H202" s="17" t="s">
        <x:v>65</x:v>
      </x:c>
      <x:c r="I202" s="17">
        <x:v>183</x:v>
      </x:c>
      <x:c r="J202" s="18" t="s">
        <x:v>402</x:v>
      </x:c>
      <x:c r="K202" s="18" t="s">
        <x:v>402</x:v>
      </x:c>
      <x:c r="L202" s="17" t="s">
        <x:v>118</x:v>
      </x:c>
      <x:c r="M202" s="17">
        <x:v>237</x:v>
      </x:c>
      <x:c r="N202" s="18">
        <x:f>IFERROR(VLOOKUP(G202, $A$5:$C$52, 3, FALSE), "")</x:f>
      </x:c>
      <x:c r="O202" s="18" t="s">
        <x:v>203</x:v>
      </x:c>
      <x:c r="P202" s="17" t="s">
        <x:v>203</x:v>
      </x:c>
    </x:row>
    <x:row r="203" spans="1:39">
      <x:c r="F203" s="18">
        <x:f>IFERROR(VLOOKUP(G203, $A$5:$B$52, 2, FALSE), "")</x:f>
      </x:c>
      <x:c r="G203" s="17">
        <x:v>35</x:v>
      </x:c>
      <x:c r="H203" s="17" t="s">
        <x:v>65</x:v>
      </x:c>
      <x:c r="I203" s="17">
        <x:v>184</x:v>
      </x:c>
      <x:c r="J203" s="18" t="s">
        <x:v>403</x:v>
      </x:c>
      <x:c r="K203" s="18" t="s">
        <x:v>403</x:v>
      </x:c>
      <x:c r="L203" s="17" t="s">
        <x:v>121</x:v>
      </x:c>
      <x:c r="M203" s="17">
        <x:v>258</x:v>
      </x:c>
      <x:c r="N203" s="18">
        <x:f>IFERROR(VLOOKUP(G203, $A$5:$C$52, 3, FALSE), "")</x:f>
      </x:c>
      <x:c r="O203" s="18" t="s">
        <x:v>203</x:v>
      </x:c>
      <x:c r="P203" s="17" t="s">
        <x:v>203</x:v>
      </x:c>
    </x:row>
    <x:row r="204" spans="1:39">
      <x:c r="F204" s="18">
        <x:f>IFERROR(VLOOKUP(G204, $A$5:$B$52, 2, FALSE), "")</x:f>
      </x:c>
      <x:c r="G204" s="17">
        <x:v>36</x:v>
      </x:c>
      <x:c r="H204" s="17" t="s">
        <x:v>65</x:v>
      </x:c>
      <x:c r="I204" s="17">
        <x:v>185</x:v>
      </x:c>
      <x:c r="J204" s="18" t="s">
        <x:v>404</x:v>
      </x:c>
      <x:c r="K204" s="18" t="s">
        <x:v>404</x:v>
      </x:c>
      <x:c r="L204" s="17" t="s">
        <x:v>120</x:v>
      </x:c>
      <x:c r="M204" s="17">
        <x:v>279</x:v>
      </x:c>
      <x:c r="N204" s="18">
        <x:f>IFERROR(VLOOKUP(G204, $A$5:$C$52, 3, FALSE), "")</x:f>
      </x:c>
      <x:c r="O204" s="18" t="s">
        <x:v>203</x:v>
      </x:c>
      <x:c r="P204" s="17" t="s">
        <x:v>203</x:v>
      </x:c>
    </x:row>
    <x:row r="205" spans="1:39">
      <x:c r="F205" s="18">
        <x:f>IFERROR(VLOOKUP(G205, $A$5:$B$52, 2, FALSE), "")</x:f>
      </x:c>
      <x:c r="G205" s="17">
        <x:v>37</x:v>
      </x:c>
      <x:c r="H205" s="17" t="s">
        <x:v>65</x:v>
      </x:c>
      <x:c r="I205" s="17">
        <x:v>186</x:v>
      </x:c>
      <x:c r="J205" s="18" t="s">
        <x:v>405</x:v>
      </x:c>
      <x:c r="K205" s="18" t="s">
        <x:v>405</x:v>
      </x:c>
      <x:c r="L205" s="17" t="s">
        <x:v>118</x:v>
      </x:c>
      <x:c r="M205" s="17">
        <x:v>300</x:v>
      </x:c>
      <x:c r="N205" s="18">
        <x:f>IFERROR(VLOOKUP(G205, $A$5:$C$52, 3, FALSE), "")</x:f>
      </x:c>
      <x:c r="O205" s="18" t="s">
        <x:v>203</x:v>
      </x:c>
      <x:c r="P205" s="17" t="s">
        <x:v>203</x:v>
      </x:c>
    </x:row>
    <x:row r="206" spans="1:39">
      <x:c r="F206" s="18">
        <x:f>IFERROR(VLOOKUP(G206, $A$5:$B$52, 2, FALSE), "")</x:f>
      </x:c>
      <x:c r="G206" s="17">
        <x:v>38</x:v>
      </x:c>
      <x:c r="H206" s="17" t="s">
        <x:v>65</x:v>
      </x:c>
      <x:c r="I206" s="17">
        <x:v>187</x:v>
      </x:c>
      <x:c r="J206" s="18" t="s">
        <x:v>406</x:v>
      </x:c>
      <x:c r="K206" s="18" t="s">
        <x:v>406</x:v>
      </x:c>
      <x:c r="L206" s="17" t="s">
        <x:v>120</x:v>
      </x:c>
      <x:c r="M206" s="17">
        <x:v>321</x:v>
      </x:c>
      <x:c r="N206" s="18">
        <x:f>IFERROR(VLOOKUP(G206, $A$5:$C$52, 3, FALSE), "")</x:f>
      </x:c>
      <x:c r="O206" s="18" t="s">
        <x:v>203</x:v>
      </x:c>
      <x:c r="P206" s="17" t="s">
        <x:v>203</x:v>
      </x:c>
    </x:row>
    <x:row r="207" spans="1:39">
      <x:c r="F207" s="18">
        <x:f>IFERROR(VLOOKUP(G207, $A$5:$B$52, 2, FALSE), "")</x:f>
      </x:c>
      <x:c r="G207" s="17">
        <x:v>39</x:v>
      </x:c>
      <x:c r="H207" s="17" t="s">
        <x:v>65</x:v>
      </x:c>
      <x:c r="I207" s="17">
        <x:v>188</x:v>
      </x:c>
      <x:c r="J207" s="18" t="s">
        <x:v>407</x:v>
      </x:c>
      <x:c r="K207" s="18" t="s">
        <x:v>407</x:v>
      </x:c>
      <x:c r="L207" s="17" t="s">
        <x:v>119</x:v>
      </x:c>
      <x:c r="M207" s="17">
        <x:v>342</x:v>
      </x:c>
      <x:c r="N207" s="18">
        <x:f>IFERROR(VLOOKUP(G207, $A$5:$C$52, 3, FALSE), "")</x:f>
      </x:c>
      <x:c r="O207" s="18" t="s">
        <x:v>203</x:v>
      </x:c>
      <x:c r="P207" s="17" t="s">
        <x:v>203</x:v>
      </x:c>
    </x:row>
    <x:row r="208" spans="1:39">
      <x:c r="F208" s="18">
        <x:f>IFERROR(VLOOKUP(G208, $A$5:$B$52, 2, FALSE), "")</x:f>
      </x:c>
      <x:c r="G208" s="17">
        <x:v>40</x:v>
      </x:c>
      <x:c r="H208" s="17" t="s">
        <x:v>65</x:v>
      </x:c>
      <x:c r="I208" s="17">
        <x:v>189</x:v>
      </x:c>
      <x:c r="J208" s="18" t="s">
        <x:v>408</x:v>
      </x:c>
      <x:c r="K208" s="18" t="s">
        <x:v>408</x:v>
      </x:c>
      <x:c r="L208" s="17" t="s">
        <x:v>122</x:v>
      </x:c>
      <x:c r="M208" s="17">
        <x:v>363</x:v>
      </x:c>
      <x:c r="N208" s="18">
        <x:f>IFERROR(VLOOKUP(G208, $A$5:$C$52, 3, FALSE), "")</x:f>
      </x:c>
      <x:c r="O208" s="18" t="s">
        <x:v>203</x:v>
      </x:c>
      <x:c r="P208" s="17" t="s">
        <x:v>203</x:v>
      </x:c>
    </x:row>
    <x:row r="209" spans="1:39">
      <x:c r="F209" s="18">
        <x:f>IFERROR(VLOOKUP(G209, $A$5:$B$52, 2, FALSE), "")</x:f>
      </x:c>
      <x:c r="G209" s="17">
        <x:v>41</x:v>
      </x:c>
      <x:c r="H209" s="17" t="s">
        <x:v>65</x:v>
      </x:c>
      <x:c r="I209" s="17">
        <x:v>190</x:v>
      </x:c>
      <x:c r="J209" s="18" t="s">
        <x:v>409</x:v>
      </x:c>
      <x:c r="K209" s="18" t="s">
        <x:v>409</x:v>
      </x:c>
      <x:c r="L209" s="17" t="s">
        <x:v>118</x:v>
      </x:c>
      <x:c r="M209" s="17">
        <x:v>384</x:v>
      </x:c>
      <x:c r="N209" s="18">
        <x:f>IFERROR(VLOOKUP(G209, $A$5:$C$52, 3, FALSE), "")</x:f>
      </x:c>
      <x:c r="O209" s="18" t="s">
        <x:v>203</x:v>
      </x:c>
      <x:c r="P209" s="17" t="s">
        <x:v>203</x:v>
      </x:c>
    </x:row>
    <x:row r="210" spans="1:39">
      <x:c r="F210" s="18">
        <x:f>IFERROR(VLOOKUP(G210, $A$5:$B$52, 2, FALSE), "")</x:f>
      </x:c>
      <x:c r="G210" s="17">
        <x:v>42</x:v>
      </x:c>
      <x:c r="H210" s="17" t="s">
        <x:v>65</x:v>
      </x:c>
      <x:c r="I210" s="17">
        <x:v>191</x:v>
      </x:c>
      <x:c r="J210" s="18" t="s">
        <x:v>410</x:v>
      </x:c>
      <x:c r="K210" s="18" t="s">
        <x:v>410</x:v>
      </x:c>
      <x:c r="L210" s="17" t="s">
        <x:v>121</x:v>
      </x:c>
      <x:c r="M210" s="17">
        <x:v>405</x:v>
      </x:c>
      <x:c r="N210" s="18">
        <x:f>IFERROR(VLOOKUP(G210, $A$5:$C$52, 3, FALSE), "")</x:f>
      </x:c>
      <x:c r="O210" s="18" t="s">
        <x:v>203</x:v>
      </x:c>
      <x:c r="P210" s="17" t="s">
        <x:v>203</x:v>
      </x:c>
    </x:row>
    <x:row r="211" spans="1:39">
      <x:c r="F211" s="18">
        <x:f>IFERROR(VLOOKUP(G211, $A$5:$B$52, 2, FALSE), "")</x:f>
      </x:c>
      <x:c r="G211" s="17">
        <x:v>43</x:v>
      </x:c>
      <x:c r="H211" s="17" t="s">
        <x:v>65</x:v>
      </x:c>
      <x:c r="I211" s="17">
        <x:v>192</x:v>
      </x:c>
      <x:c r="J211" s="18" t="s">
        <x:v>411</x:v>
      </x:c>
      <x:c r="K211" s="18" t="s">
        <x:v>411</x:v>
      </x:c>
      <x:c r="L211" s="17" t="s">
        <x:v>120</x:v>
      </x:c>
      <x:c r="M211" s="17">
        <x:v>426</x:v>
      </x:c>
      <x:c r="N211" s="18">
        <x:f>IFERROR(VLOOKUP(G211, $A$5:$C$52, 3, FALSE), "")</x:f>
      </x:c>
      <x:c r="O211" s="18" t="s">
        <x:v>203</x:v>
      </x:c>
      <x:c r="P211" s="17" t="s">
        <x:v>203</x:v>
      </x:c>
    </x:row>
    <x:row r="212" spans="1:39">
      <x:c r="F212" s="18">
        <x:f>IFERROR(VLOOKUP(G212, $A$5:$B$52, 2, FALSE), "")</x:f>
      </x:c>
      <x:c r="G212" s="17">
        <x:v>44</x:v>
      </x:c>
      <x:c r="H212" s="17" t="s">
        <x:v>65</x:v>
      </x:c>
      <x:c r="I212" s="17">
        <x:v>193</x:v>
      </x:c>
      <x:c r="J212" s="18" t="s">
        <x:v>412</x:v>
      </x:c>
      <x:c r="K212" s="18" t="s">
        <x:v>412</x:v>
      </x:c>
      <x:c r="L212" s="17" t="s">
        <x:v>119</x:v>
      </x:c>
      <x:c r="M212" s="17">
        <x:v>447</x:v>
      </x:c>
      <x:c r="N212" s="18">
        <x:f>IFERROR(VLOOKUP(G212, $A$5:$C$52, 3, FALSE), "")</x:f>
      </x:c>
      <x:c r="O212" s="18" t="s">
        <x:v>203</x:v>
      </x:c>
      <x:c r="P212" s="17" t="s">
        <x:v>203</x:v>
      </x:c>
    </x:row>
    <x:row r="213" spans="1:39">
      <x:c r="F213" s="18">
        <x:f>IFERROR(VLOOKUP(G213, $A$5:$B$52, 2, FALSE), "")</x:f>
      </x:c>
      <x:c r="G213" s="17">
        <x:v>45</x:v>
      </x:c>
      <x:c r="H213" s="17" t="s">
        <x:v>65</x:v>
      </x:c>
      <x:c r="I213" s="17">
        <x:v>194</x:v>
      </x:c>
      <x:c r="J213" s="18" t="s">
        <x:v>413</x:v>
      </x:c>
      <x:c r="K213" s="18" t="s">
        <x:v>413</x:v>
      </x:c>
      <x:c r="L213" s="17" t="s">
        <x:v>117</x:v>
      </x:c>
      <x:c r="M213" s="17">
        <x:v>468</x:v>
      </x:c>
      <x:c r="N213" s="18">
        <x:f>IFERROR(VLOOKUP(G213, $A$5:$C$52, 3, FALSE), "")</x:f>
      </x:c>
      <x:c r="O213" s="18" t="s">
        <x:v>203</x:v>
      </x:c>
      <x:c r="P213" s="17" t="s">
        <x:v>203</x:v>
      </x:c>
    </x:row>
    <x:row r="214" spans="1:39">
      <x:c r="F214" s="18">
        <x:f>IFERROR(VLOOKUP(G214, $A$5:$B$52, 2, FALSE), "")</x:f>
      </x:c>
      <x:c r="G214" s="17">
        <x:v>46</x:v>
      </x:c>
      <x:c r="H214" s="17" t="s">
        <x:v>65</x:v>
      </x:c>
      <x:c r="I214" s="17">
        <x:v>195</x:v>
      </x:c>
      <x:c r="J214" s="18" t="s">
        <x:v>414</x:v>
      </x:c>
      <x:c r="K214" s="18" t="s">
        <x:v>414</x:v>
      </x:c>
      <x:c r="L214" s="17" t="s">
        <x:v>121</x:v>
      </x:c>
      <x:c r="M214" s="17">
        <x:v>489</x:v>
      </x:c>
      <x:c r="N214" s="18">
        <x:f>IFERROR(VLOOKUP(G214, $A$5:$C$52, 3, FALSE), "")</x:f>
      </x:c>
      <x:c r="O214" s="18" t="s">
        <x:v>203</x:v>
      </x:c>
      <x:c r="P214" s="17" t="s">
        <x:v>203</x:v>
      </x:c>
    </x:row>
    <x:row r="215" spans="1:39">
      <x:c r="F215" s="18">
        <x:f>IFERROR(VLOOKUP(G215, $A$5:$B$52, 2, FALSE), "")</x:f>
      </x:c>
      <x:c r="G215" s="17">
        <x:v>47</x:v>
      </x:c>
      <x:c r="H215" s="17" t="s">
        <x:v>65</x:v>
      </x:c>
      <x:c r="I215" s="17">
        <x:v>196</x:v>
      </x:c>
      <x:c r="J215" s="18" t="s">
        <x:v>415</x:v>
      </x:c>
      <x:c r="K215" s="18" t="s">
        <x:v>415</x:v>
      </x:c>
      <x:c r="L215" s="17" t="s">
        <x:v>119</x:v>
      </x:c>
      <x:c r="M215" s="17">
        <x:v>510</x:v>
      </x:c>
      <x:c r="N215" s="18">
        <x:f>IFERROR(VLOOKUP(G215, $A$5:$C$52, 3, FALSE), "")</x:f>
      </x:c>
      <x:c r="O215" s="18" t="s">
        <x:v>203</x:v>
      </x:c>
      <x:c r="P215" s="17" t="s">
        <x:v>203</x:v>
      </x:c>
    </x:row>
    <x:row r="216" spans="1:39">
      <x:c r="F216" s="18">
        <x:f>IFERROR(VLOOKUP(G216, $A$5:$B$52, 2, FALSE), "")</x:f>
      </x:c>
      <x:c r="G216" s="17">
        <x:v>48</x:v>
      </x:c>
      <x:c r="H216" s="17" t="s">
        <x:v>65</x:v>
      </x:c>
      <x:c r="I216" s="17">
        <x:v>197</x:v>
      </x:c>
      <x:c r="J216" s="18" t="s">
        <x:v>416</x:v>
      </x:c>
      <x:c r="K216" s="18" t="s">
        <x:v>416</x:v>
      </x:c>
      <x:c r="L216" s="17" t="s">
        <x:v>122</x:v>
      </x:c>
      <x:c r="M216" s="17">
        <x:v>531</x:v>
      </x:c>
      <x:c r="N216" s="18">
        <x:f>IFERROR(VLOOKUP(G216, $A$5:$C$52, 3, FALSE), "")</x:f>
      </x:c>
      <x:c r="O216" s="18" t="s">
        <x:v>203</x:v>
      </x:c>
      <x:c r="P216" s="17" t="s">
        <x:v>203</x:v>
      </x:c>
    </x:row>
  </x:sheetData>
  <x:mergeCells count="4">
    <x:mergeCell ref="A2:E2"/>
    <x:mergeCell ref="F2:P2"/>
    <x:mergeCell ref="Q2:Z2"/>
    <x:mergeCell ref="AB2:AM2"/>
  </x:mergeCells>
  <x:dataValidations count="6">
    <x:dataValidation type="list" errorStyle="stop" operator="between" allowBlank="1" showDropDown="0" showInputMessage="1" showErrorMessage="1" errorTitle="" error="" promptTitle="" prompt="" sqref="C5:C52">
      <x:formula1>=$AC$5:$AC$19</x:formula1>
      <x:formula2/>
    </x:dataValidation>
    <x:dataValidation type="list" errorStyle="stop" operator="between" allowBlank="1" showDropDown="0" showInputMessage="1" showErrorMessage="1" errorTitle="" error="" promptTitle="" prompt="" sqref="D5:D52">
      <x:formula1>=$AE$5:$AE$9</x:formula1>
      <x:formula2/>
    </x:dataValidation>
    <x:dataValidation type="list" errorStyle="stop" operator="between" allowBlank="1" showDropDown="0" showInputMessage="1" showErrorMessage="1" errorTitle="" error="" promptTitle="" prompt="" sqref="H5:H216 W5:W112">
      <x:formula1>=$AG$5:$AG$13</x:formula1>
      <x:formula2/>
    </x:dataValidation>
    <x:dataValidation type="list" errorStyle="stop" operator="between" allowBlank="1" showDropDown="0" showInputMessage="1" showErrorMessage="1" errorTitle="" error="" promptTitle="" prompt="" sqref="K5:K216">
      <x:formula1>=$AI$5:$AI$55</x:formula1>
      <x:formula2/>
    </x:dataValidation>
    <x:dataValidation type="list" errorStyle="stop" operator="between" allowBlank="1" showDropDown="0" showInputMessage="1" showErrorMessage="1" errorTitle="" error="" promptTitle="" prompt="" sqref="L5:L216">
      <x:formula1>=$AK$5:$AK$10</x:formula1>
      <x:formula2/>
    </x:dataValidation>
    <x:dataValidation type="list" errorStyle="stop" operator="between" allowBlank="1" showDropDown="0" showInputMessage="1" showErrorMessage="1" errorTitle="" error="" promptTitle="" prompt="" sqref="Y5:Y112">
      <x:formula1>=$AM$5:$AM$6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التشكيل</vt:lpstr>
      <vt:lpstr>التشكيل!Print_Area</vt:lpstr>
      <vt:lpstr>التشكيل!Print_Titles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